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A259B858-779F-423A-BCD8-1898B5EBA705}" xr6:coauthVersionLast="47" xr6:coauthVersionMax="47" xr10:uidLastSave="{00000000-0000-0000-0000-000000000000}"/>
  <bookViews>
    <workbookView xWindow="-108" yWindow="-108" windowWidth="23256" windowHeight="13176" firstSheet="5" activeTab="7" xr2:uid="{00000000-000D-0000-FFFF-FFFF00000000}"/>
  </bookViews>
  <sheets>
    <sheet name="Guide" sheetId="1" r:id="rId1"/>
    <sheet name="Test Scenario Summary" sheetId="2" r:id="rId2"/>
    <sheet name="Defect Summary" sheetId="3" r:id="rId3"/>
    <sheet name="TS001" sheetId="4" r:id="rId4"/>
    <sheet name="TS002" sheetId="5" r:id="rId5"/>
    <sheet name="Test Case Design &amp; Test Results" sheetId="6" r:id="rId6"/>
    <sheet name="Requirements Traceability" sheetId="7" r:id="rId7"/>
    <sheet name="Test Summary Report" sheetId="8" r:id="rId8"/>
    <sheet name="Execution Log" sheetId="9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8" l="1"/>
  <c r="E17" i="8"/>
  <c r="D17" i="8"/>
  <c r="C17" i="8"/>
  <c r="B17" i="8"/>
  <c r="B10" i="8"/>
  <c r="B9" i="8"/>
  <c r="B8" i="8"/>
  <c r="B7" i="8"/>
  <c r="B6" i="8"/>
  <c r="B5" i="8"/>
  <c r="H6" i="2"/>
  <c r="G6" i="2"/>
  <c r="F6" i="2"/>
  <c r="E6" i="2"/>
  <c r="D6" i="2"/>
  <c r="H5" i="2"/>
  <c r="G5" i="2"/>
  <c r="F5" i="2"/>
  <c r="E5" i="2"/>
  <c r="D5" i="2"/>
</calcChain>
</file>

<file path=xl/sharedStrings.xml><?xml version="1.0" encoding="utf-8"?>
<sst xmlns="http://schemas.openxmlformats.org/spreadsheetml/2006/main" count="586" uniqueCount="295">
  <si>
    <t>ข้อมูลเอกสารการทดสอบ</t>
  </si>
  <si>
    <t>หัวข้อ</t>
  </si>
  <si>
    <t>รายละเอียด</t>
  </si>
  <si>
    <t>โครงการ</t>
  </si>
  <si>
    <t>CPFriendFinder (CP353002)</t>
  </si>
  <si>
    <t>ผู้รับผิดชอบ</t>
  </si>
  <si>
    <t>จิรัชญา เป้าจันทึก — Tester</t>
  </si>
  <si>
    <t>วันที่เริ่มจัดทำ</t>
  </si>
  <si>
    <t>30 กันยายน 2569</t>
  </si>
  <si>
    <t>ส่วนที่ทดสอบ</t>
  </si>
  <si>
    <t>AuthService: สมัครสมาชิกและเข้าสู่ระบบ</t>
  </si>
  <si>
    <t>รายการที่ออกแบบ</t>
  </si>
  <si>
    <t>Register 12 กรณี และ Login 11 กรณี</t>
  </si>
  <si>
    <t>ผลทดสอบเริ่มต้น</t>
  </si>
  <si>
    <t>FriendApplicationTests.contextLoads: ผ่าน 1/1</t>
  </si>
  <si>
    <t>ผลทดสอบล่าสุด</t>
  </si>
  <si>
    <t>วันที่และคำสั่ง</t>
  </si>
  <si>
    <t>ขอบเขตผลการทดสอบ</t>
  </si>
  <si>
    <t>ผลที่บันทึกครอบคลุม Spring context และ AuthService; ยังไม่มีผลทดสอบ API, ฐานข้อมูลจริง หรือ UAT</t>
  </si>
  <si>
    <t>เอกสารประกอบ</t>
  </si>
  <si>
    <t>ตำแหน่ง</t>
  </si>
  <si>
    <t>แผนทดสอบ</t>
  </si>
  <si>
    <t>test/test-plan/test-plan.md</t>
  </si>
  <si>
    <t>ไฟล์ Excel เล่มนี้</t>
  </si>
  <si>
    <t>สมุดงาน Excel นี้</t>
  </si>
  <si>
    <t>หลักฐานเดิม</t>
  </si>
  <si>
    <t>test/reports/baseline-2026-09-30.md</t>
  </si>
  <si>
    <t>รายงานสรุป</t>
  </si>
  <si>
    <t>test/reports/test-summary.md</t>
  </si>
  <si>
    <t>บันทึกข้อสังเกต</t>
  </si>
  <si>
    <t>test/reports/review-notes.md</t>
  </si>
  <si>
    <t>JUnit</t>
  </si>
  <si>
    <t>src/test/java/com/cp/friend/service/</t>
  </si>
  <si>
    <t>ข้อมูลเพิ่มเติม</t>
  </si>
  <si>
    <t>ผลจากการรันทดสอบจัดเก็บใน test/reports/ และ target/surefire-reports/</t>
  </si>
  <si>
    <t>ข้อมูลอ้างอิง</t>
  </si>
  <si>
    <t>รหัส REQ และ UC ภายใน Excel เป็นรหัสสำหรับติดตาม Test Case ในเอกสารนี้</t>
  </si>
  <si>
    <t>สรุปสถานการณ์ทดสอบ</t>
  </si>
  <si>
    <t>Use Case ID</t>
  </si>
  <si>
    <t>Scenario ID</t>
  </si>
  <si>
    <t>สถานการณ์ทดสอบ</t>
  </si>
  <si>
    <t>จำนวนกรณี</t>
  </si>
  <si>
    <t>ผ่าน</t>
  </si>
  <si>
    <t>ไม่ผ่าน</t>
  </si>
  <si>
    <t>ยังไม่รัน</t>
  </si>
  <si>
    <t>ติดปัญหา</t>
  </si>
  <si>
    <t>หมายเหตุ</t>
  </si>
  <si>
    <t>UC-AUTH-01</t>
  </si>
  <si>
    <t>TS001</t>
  </si>
  <si>
    <t>สมัครสมาชิก: ข้อมูลถูกต้อง ข้อมูลไม่ครบ และอีเมลซ้ำ</t>
  </si>
  <si>
    <t>AuthService.register</t>
  </si>
  <si>
    <t>UC-AUTH-02</t>
  </si>
  <si>
    <t>TS002</t>
  </si>
  <si>
    <t>เข้าสู่ระบบ: ข้อมูลถูกต้อง ข้อมูลผิด และสถานะบัญชี</t>
  </si>
  <si>
    <t>AuthService.login</t>
  </si>
  <si>
    <t>หมายเหตุ: จำนวนและสถานะคำนวณจากแผ่น 'Test Case Design &amp; Test Results' เมื่อบันทึกผลจริง</t>
  </si>
  <si>
    <t>สรุปข้อบกพร่องที่พบ</t>
  </si>
  <si>
    <t>ลำดับ</t>
  </si>
  <si>
    <t>Defect ID</t>
  </si>
  <si>
    <t>รายละเอียดปัญหา</t>
  </si>
  <si>
    <t>วันที่พบ</t>
  </si>
  <si>
    <t>วันที่แก้</t>
  </si>
  <si>
    <t>ผู้รายงาน</t>
  </si>
  <si>
    <t>สถานะ</t>
  </si>
  <si>
    <t>ความรุนแรง</t>
  </si>
  <si>
    <t>ความสำคัญ</t>
  </si>
  <si>
    <t>ผู้ตรวจแก้</t>
  </si>
  <si>
    <t>หลักฐาน / ขั้นตอนทำซ้ำ</t>
  </si>
  <si>
    <t>ยังไม่มีข้อบกพร่องที่ยืนยันจากชุดทดสอบนี้</t>
  </si>
  <si>
    <t>TS001  การสมัครสมาชิก</t>
  </si>
  <si>
    <t>การสมัครสมาชิก</t>
  </si>
  <si>
    <t>รหัสกรณีทดสอบ</t>
  </si>
  <si>
    <t>REG-001 ถึง REG-012</t>
  </si>
  <si>
    <t>ผลการทดสอบ</t>
  </si>
  <si>
    <t>รันแล้ว 12 รายการ ผ่าน 12 ไม่พบ Fail/Error (30 ก.ย. 2569)</t>
  </si>
  <si>
    <t>ขั้นตอน</t>
  </si>
  <si>
    <t>ข้อมูลทดสอบ</t>
  </si>
  <si>
    <t>เงื่อนไข</t>
  </si>
  <si>
    <t>ผลที่คาดหวัง</t>
  </si>
  <si>
    <t>เตรียมข้อมูลสำหรับกรณีทดสอบ</t>
  </si>
  <si>
    <t>ข้อมูลตาม Test Case</t>
  </si>
  <si>
    <t>จำลอง Repository / Encoder ตามกรณี</t>
  </si>
  <si>
    <t>มีข้อมูลพร้อมสำหรับทดสอบ</t>
  </si>
  <si>
    <t>เรียกใช้ AuthService.register()</t>
  </si>
  <si>
    <t>ข้อมูลถูกต้องหรือไม่ถูกต้อง</t>
  </si>
  <si>
    <t>ใช้เงื่อนไขที่ระบุในแต่ละ Test Case</t>
  </si>
  <si>
    <t>ได้ค่าที่ส่งกลับหรือข้อความข้อผิดพลาดตามกรณี</t>
  </si>
  <si>
    <t>ตรวจค่าที่คืนและการเรียกใช้ส่วนอื่น</t>
  </si>
  <si>
    <t>ผลลัพธ์ / Exception</t>
  </si>
  <si>
    <t>ตรวจด้วย assert และ verify</t>
  </si>
  <si>
    <t>ตรงกับ Expected Result</t>
  </si>
  <si>
    <t>บันทึกผลหลังรัน</t>
  </si>
  <si>
    <t>JUnit 5 + Mockito</t>
  </si>
  <si>
    <t>รันด้วย Maven Wrapper</t>
  </si>
  <si>
    <t>กรอก Actual Result, Status และหลักฐาน</t>
  </si>
  <si>
    <t>Valid email</t>
  </si>
  <si>
    <t>student@kku.ac.th</t>
  </si>
  <si>
    <t>ความยาวรหัสผ่าน</t>
  </si>
  <si>
    <t>ทดสอบ 7 ตัว (ไม่ผ่าน) และ 8 ตัว (ผ่าน)</t>
  </si>
  <si>
    <t>Output/Exceptions</t>
  </si>
  <si>
    <t>กำหนดตามกรณีในแผ่น Test Case Design &amp; Test Results</t>
  </si>
  <si>
    <t>TS002  การเข้าสู่ระบบ</t>
  </si>
  <si>
    <t>การเข้าสู่ระบบ</t>
  </si>
  <si>
    <t>LOGIN-001 ถึง LOGIN-011</t>
  </si>
  <si>
    <t>รันแล้ว 11 รายการ ผ่าน 11 ไม่พบ Fail/Error (30 ก.ย. 2569)</t>
  </si>
  <si>
    <t>เรียกใช้ AuthService.login()</t>
  </si>
  <si>
    <t>ข้อมูลที่ไม่ถูกต้อง</t>
  </si>
  <si>
    <t>อีเมล/รหัสผ่านว่าง, อีเมลไม่พบ, รหัสผ่านผิด, บัญชี BLOCKED</t>
  </si>
  <si>
    <t>รายการกรณีทดสอบและผลการทดสอบ</t>
  </si>
  <si>
    <t>Test Case ID</t>
  </si>
  <si>
    <t>วิธีออกแบบ</t>
  </si>
  <si>
    <t>เงื่อนไข / Mock</t>
  </si>
  <si>
    <t>ผลที่ได้จริง</t>
  </si>
  <si>
    <t>ประเภทการทดสอบ</t>
  </si>
  <si>
    <t>JUnit method</t>
  </si>
  <si>
    <t>หมายเหตุ / Defect ID</t>
  </si>
  <si>
    <t>REG-001</t>
  </si>
  <si>
    <t>EC: ข้อมูลถูกต้อง</t>
  </si>
  <si>
    <t>email=student@kku.ac.th; password=password123; กรอกชื่อและนามสกุล</t>
  </si>
  <si>
    <t>อีเมลยังไม่ซ้ำ; mock เข้ารหัสและบันทึกผู้ใช้</t>
  </si>
  <si>
    <t>สมัครสำเร็จ ได้ข้อมูลผู้ใช้กลับมา และบันทึกผู้ใช้ 1 ครั้ง</t>
  </si>
  <si>
    <t>ผ่านตามผลที่คาดหวัง โดย JUnit ยืนยันผลของกรณีนี้</t>
  </si>
  <si>
    <t>Pass</t>
  </si>
  <si>
    <t>Unit test (JUnit 5 / Mockito)</t>
  </si>
  <si>
    <t>AuthServiceRegisterTest.register_validData_savesUser</t>
  </si>
  <si>
    <t>รัน 30 ก.ย. 2569 (ชุดรวม 14:14 น.); ดู Surefire report</t>
  </si>
  <si>
    <t>REG-002</t>
  </si>
  <si>
    <t>EC: ข้อมูลไม่ถูกต้อง</t>
  </si>
  <si>
    <t>ไม่ส่ง RegisterRequest (null)</t>
  </si>
  <si>
    <t>ไม่ต้องตั้งค่าผลลัพธ์ของ mock</t>
  </si>
  <si>
    <t>แจ้ง 'Registration request is required'</t>
  </si>
  <si>
    <t>AuthServiceRegisterTest.register_nullRequest_throwsRequiredRequest</t>
  </si>
  <si>
    <t>REG-003</t>
  </si>
  <si>
    <t>email=null</t>
  </si>
  <si>
    <t>แจ้ง 'Email is required'</t>
  </si>
  <si>
    <t>AuthServiceRegisterTest.register_nullEmail_throwsRequiredEmail</t>
  </si>
  <si>
    <t>REG-004</t>
  </si>
  <si>
    <t>email เป็นช่องว่าง 3 ตัว</t>
  </si>
  <si>
    <t>AuthServiceRegisterTest.register_blankEmail_throwsRequiredEmail</t>
  </si>
  <si>
    <t>REG-005</t>
  </si>
  <si>
    <t>password=null</t>
  </si>
  <si>
    <t>แจ้ง 'Password is required'</t>
  </si>
  <si>
    <t>AuthServiceRegisterTest.register_nullPassword_throwsRequiredPassword</t>
  </si>
  <si>
    <t>REG-006</t>
  </si>
  <si>
    <t>password เป็นช่องว่าง 3 ตัว</t>
  </si>
  <si>
    <t>AuthServiceRegisterTest.register_blankPassword_throwsRequiredPassword</t>
  </si>
  <si>
    <t>REG-007</t>
  </si>
  <si>
    <t>BVA: ต่ำกว่าค่าต่ำสุด</t>
  </si>
  <si>
    <t>password=1234567 (7 ตัว)</t>
  </si>
  <si>
    <t>แจ้ง 'Password must be at least 8 characters'</t>
  </si>
  <si>
    <t>AuthServiceRegisterTest.register_sevenCharacterPassword_rejected</t>
  </si>
  <si>
    <t>REG-008</t>
  </si>
  <si>
    <t>BVA: ค่าต่ำสุด</t>
  </si>
  <si>
    <t>password=12345678 (8 ตัว)</t>
  </si>
  <si>
    <t>อีเมลไม่ซ้ำ; mock เข้ารหัสและบันทึกผู้ใช้</t>
  </si>
  <si>
    <t>ยอมรับรหัสผ่านและบันทึกผู้ใช้ได้</t>
  </si>
  <si>
    <t>AuthServiceRegisterTest.register_eightCharacterPassword_accepted</t>
  </si>
  <si>
    <t>REG-009</t>
  </si>
  <si>
    <t>สมัครด้วยอีเมลที่มีอยู่แล้ว</t>
  </si>
  <si>
    <t>กำหนด existsByEmail เป็น true</t>
  </si>
  <si>
    <t>แจ้ง 'Email already exists' และไม่บันทึกผู้ใช้</t>
  </si>
  <si>
    <t>AuthServiceRegisterTest.register_duplicateEmail_rejectedWithoutSaving</t>
  </si>
  <si>
    <t>REG-010</t>
  </si>
  <si>
    <t>email='  STUDENT@KKU.AC.TH  '</t>
  </si>
  <si>
    <t>ตัดช่องว่างและแปลงอีเมลเป็นตัวพิมพ์เล็กก่อนบันทึก</t>
  </si>
  <si>
    <t>AuthServiceRegisterTest.register_spacedUppercaseEmail_normalized</t>
  </si>
  <si>
    <t>REG-011</t>
  </si>
  <si>
    <t>ตรวจตามโค้ด</t>
  </si>
  <si>
    <t>สมัครด้วยข้อมูลถูกต้อง</t>
  </si>
  <si>
    <t>mock การเข้ารหัสและบันทึกผู้ใช้</t>
  </si>
  <si>
    <t>เก็บรหัสผ่านที่เข้ารหัสแล้ว และกำหนดสถานะ ACTIVE</t>
  </si>
  <si>
    <t>AuthServiceRegisterTest.register_validData_encodesPasswordAndSetsActive</t>
  </si>
  <si>
    <t>REG-012</t>
  </si>
  <si>
    <t>email เป็นสตริงว่าง</t>
  </si>
  <si>
    <t>ปฏิเสธข้อมูล และไม่เรียกใช้ Repository/Encoder</t>
  </si>
  <si>
    <t>AuthServiceRegisterTest.register_invalidEmail_doesNotAccessDependencies</t>
  </si>
  <si>
    <t>LOGIN-001</t>
  </si>
  <si>
    <t>อีเมลและรหัสผ่านถูกต้อง; บัญชี ACTIVE</t>
  </si>
  <si>
    <t>พบผู้ใช้และรหัสผ่านตรงกัน</t>
  </si>
  <si>
    <t>เข้าสู่ระบบสำเร็จและคืนข้อมูลผู้ใช้</t>
  </si>
  <si>
    <t>AuthServiceLoginTest.login_validCredentials_returnsUser</t>
  </si>
  <si>
    <t>LOGIN-002</t>
  </si>
  <si>
    <t>ไม่ส่ง LoginRequest (null)</t>
  </si>
  <si>
    <t>แจ้ง 'Login request is required'</t>
  </si>
  <si>
    <t>AuthServiceLoginTest.login_nullRequest_rejected</t>
  </si>
  <si>
    <t>LOGIN-003</t>
  </si>
  <si>
    <t>AuthServiceLoginTest.login_nullEmail_rejected</t>
  </si>
  <si>
    <t>LOGIN-004</t>
  </si>
  <si>
    <t>email เป็นช่องว่าง</t>
  </si>
  <si>
    <t>AuthServiceLoginTest.login_blankEmail_rejected</t>
  </si>
  <si>
    <t>LOGIN-005</t>
  </si>
  <si>
    <t>AuthServiceLoginTest.login_nullPassword_rejected</t>
  </si>
  <si>
    <t>LOGIN-006</t>
  </si>
  <si>
    <t>password เป็นช่องว่าง</t>
  </si>
  <si>
    <t>AuthServiceLoginTest.login_blankPassword_rejected</t>
  </si>
  <si>
    <t>LOGIN-007</t>
  </si>
  <si>
    <t>อีเมลที่ยังไม่มีในระบบ</t>
  </si>
  <si>
    <t>findByEmail ไม่พบผู้ใช้</t>
  </si>
  <si>
    <t>แจ้ง 'Invalid email or password'</t>
  </si>
  <si>
    <t>AuthServiceLoginTest.login_unknownEmail_rejected</t>
  </si>
  <si>
    <t>LOGIN-008</t>
  </si>
  <si>
    <t>สถานะบัญชี / EC</t>
  </si>
  <si>
    <t>บัญชีมีสถานะ BLOCKED</t>
  </si>
  <si>
    <t>พบผู้ใช้ที่มีสถานะ BLOCKED</t>
  </si>
  <si>
    <t>แจ้ง 'User account is not active'</t>
  </si>
  <si>
    <t>AuthServiceLoginTest.login_blockedAccount_rejected</t>
  </si>
  <si>
    <t>LOGIN-009</t>
  </si>
  <si>
    <t>อีเมลถูกต้อง แต่รหัสผ่านผิด</t>
  </si>
  <si>
    <t>พบผู้ใช้ ACTIVE; matches คืน false</t>
  </si>
  <si>
    <t>AuthServiceLoginTest.login_wrongPassword_rejected</t>
  </si>
  <si>
    <t>LOGIN-010</t>
  </si>
  <si>
    <t>พบผู้ใช้ ACTIVE; matches คืน true</t>
  </si>
  <si>
    <t>ค้นหาด้วยอีเมลที่ตัดช่องว่างและเป็นพิมพ์เล็ก</t>
  </si>
  <si>
    <t>AuthServiceLoginTest.login_spacedUppercaseEmail_normalized</t>
  </si>
  <si>
    <t>LOGIN-011</t>
  </si>
  <si>
    <t>บัญชี BLOCKED</t>
  </si>
  <si>
    <t>พบผู้ใช้ที่ถูกระงับ</t>
  </si>
  <si>
    <t>ปฏิเสธก่อนตรวจรหัสผ่าน (ไม่เรียก matches)</t>
  </si>
  <si>
    <t>AuthServiceLoginTest.login_blockedAccount_doesNotCheckPassword</t>
  </si>
  <si>
    <t>ตารางเชื่อมโยงข้อกำหนดกับกรณีทดสอบ</t>
  </si>
  <si>
    <t>รหัสข้อกำหนด</t>
  </si>
  <si>
    <t>ข้อกำหนดที่นำมาทดสอบ</t>
  </si>
  <si>
    <t>ส่วนของโค้ดที่เกี่ยวข้อง</t>
  </si>
  <si>
    <t>REQ-REG-01</t>
  </si>
  <si>
    <t>Register: ต้องมี request, email, password</t>
  </si>
  <si>
    <t>REG-002,REG-003,REG-004,REG-005,REG-006,REG-012</t>
  </si>
  <si>
    <t>AuthService.validateRegistration</t>
  </si>
  <si>
    <t>ทดสอบผ่าน (Unit)</t>
  </si>
  <si>
    <t>REQ-REG-02</t>
  </si>
  <si>
    <t>Register: password ต้องยาวอย่างน้อย 8 ตัว</t>
  </si>
  <si>
    <t>REG-007,REG-008</t>
  </si>
  <si>
    <t>REQ-REG-03</t>
  </si>
  <si>
    <t>Register: ป้องกันอีเมลซ้ำ</t>
  </si>
  <si>
    <t>AuthService.register + UserRepository.existsByEmail</t>
  </si>
  <si>
    <t>REQ-REG-04</t>
  </si>
  <si>
    <t>Register: email trim + lowercase ก่อนตรวจและบันทึก</t>
  </si>
  <si>
    <t>REG-001,REG-010</t>
  </si>
  <si>
    <t>REQ-REG-05</t>
  </si>
  <si>
    <t>Register: encode password, status ACTIVE และ save</t>
  </si>
  <si>
    <t>REG-001,REG-011</t>
  </si>
  <si>
    <t>REQ-LOGIN-01</t>
  </si>
  <si>
    <t>Login: request/email/password ต้องไม่เป็น null/blank</t>
  </si>
  <si>
    <t>LOGIN-002..LOGIN-006</t>
  </si>
  <si>
    <t>AuthService.validateLogin</t>
  </si>
  <si>
    <t>REQ-LOGIN-02</t>
  </si>
  <si>
    <t>Login: ถ้าไม่พบ user หรือ password ไม่ตรง ให้ปฏิเสธ</t>
  </si>
  <si>
    <t>LOGIN-007,LOGIN-009</t>
  </si>
  <si>
    <t>REQ-LOGIN-03</t>
  </si>
  <si>
    <t>Login: เฉพาะ ACTIVE จึงเข้าสู่ระบบได้</t>
  </si>
  <si>
    <t>LOGIN-008,LOGIN-011</t>
  </si>
  <si>
    <t>REQ-LOGIN-04</t>
  </si>
  <si>
    <t>Login: email trim+lowercase ก่อนค้นหา</t>
  </si>
  <si>
    <t>LOGIN-001,LOGIN-010</t>
  </si>
  <si>
    <t>ขอบเขต/ข้อจำกัด</t>
  </si>
  <si>
    <t>รหัส REQ และ UC ในตารางเป็นรหัสอ้างอิงภายในเอกสารทดสอบ</t>
  </si>
  <si>
    <t>สรุปผลการทดสอบ CPFriendFinder</t>
  </si>
  <si>
    <t>AuthService | 30 กันยายน 2569 เวลา 14:14 น.</t>
  </si>
  <si>
    <t>กรณีทดสอบ Register และ Login</t>
  </si>
  <si>
    <t>จำนวน</t>
  </si>
  <si>
    <t>ออกแบบไว้</t>
  </si>
  <si>
    <t>รันทดสอบแล้ว</t>
  </si>
  <si>
    <t>ทดสอบไม่ได้</t>
  </si>
  <si>
    <t>ผลการรัน Maven (ชุดรวม)</t>
  </si>
  <si>
    <t>ชุดทดสอบ</t>
  </si>
  <si>
    <t>รัน</t>
  </si>
  <si>
    <t>ข้อผิดพลาด</t>
  </si>
  <si>
    <t>ข้าม</t>
  </si>
  <si>
    <t>FriendApplicationTests</t>
  </si>
  <si>
    <t>AuthServiceRegisterTest</t>
  </si>
  <si>
    <t>AuthServiceLoginTest</t>
  </si>
  <si>
    <t>รวม</t>
  </si>
  <si>
    <t>ผลการรัน</t>
  </si>
  <si>
    <t>BUILD SUCCESS</t>
  </si>
  <si>
    <t>ระยะเวลา</t>
  </si>
  <si>
    <t>คำสั่ง</t>
  </si>
  <si>
    <t>./mvnw -Djava.version=21 clean test</t>
  </si>
  <si>
    <t>กรณีใน Excel</t>
  </si>
  <si>
    <t>Register 12 รายการ และ Login 11 รายการ รวม 23 รายการ</t>
  </si>
  <si>
    <t>รายการเพิ่มเติม</t>
  </si>
  <si>
    <t>ประวัติการรันทดสอบ</t>
  </si>
  <si>
    <t>รอบ</t>
  </si>
  <si>
    <t>วันและเวลา</t>
  </si>
  <si>
    <t>Error / Skipped</t>
  </si>
  <si>
    <t>BASE-01</t>
  </si>
  <si>
    <t>30 ก.ย. 2569 13:06</t>
  </si>
  <si>
    <t>FriendApplicationTests.contextLoads</t>
  </si>
  <si>
    <t>0 / 0</t>
  </si>
  <si>
    <t>AUTH-01</t>
  </si>
  <si>
    <t>หลักฐาน</t>
  </si>
  <si>
    <t>target/surefire-reports/ (ผลทดสอบที่ Maven สร้างในเครื่อง)</t>
  </si>
  <si>
    <t>Register ผ่าน 12/12, Login ผ่าน 11/11; รวมผล Maven ผ่าน 24/24</t>
  </si>
  <si>
    <t>30 ก.ย. 2569 เวลา 15:00 น. | ./mvnw -Djava.version=21 clean test</t>
  </si>
  <si>
    <t>FriendApplicationTests 1 รายการ รวมผล Maven 24 รายการ</t>
  </si>
  <si>
    <t>2 นาที 0 วินาที</t>
  </si>
  <si>
    <t>JUnit ทุกชุด (รวม 3 คลาส)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</si>
</sst>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3"/>
      <color rgb="FF292929"/>
      <name val="Aptos"/>
    </font>
    <font>
      <b/>
      <sz val="10"/>
      <color rgb="FF202020"/>
      <name val="Aptos"/>
    </font>
    <font>
      <b/>
      <sz val="10"/>
      <color rgb="FF303030"/>
      <name val="Aptos"/>
    </font>
    <font>
      <b/>
      <sz val="10"/>
      <color rgb="FF253848"/>
      <name val="Aptos"/>
    </font>
    <font>
      <b/>
      <sz val="11"/>
      <color rgb="FF253848"/>
      <name val="Carlito"/>
    </font>
    <font>
      <b/>
      <sz val="15"/>
      <color rgb="FF292929"/>
      <name val="Aptos"/>
    </font>
    <font>
      <b/>
      <sz val="11"/>
      <name val="Carlito"/>
    </font>
    <font>
      <sz val="10"/>
      <color rgb="FF253848"/>
      <name val="Aptos"/>
    </font>
    <font>
      <sz val="11"/>
      <color rgb="FF253848"/>
      <name val="Carlito"/>
    </font>
    <font>
      <sz val="10"/>
      <color rgb="FF52616D"/>
      <name val="Carlito"/>
    </font>
    <font>
      <sz val="15"/>
      <color rgb="FF52616D"/>
      <name val="Carlito"/>
    </font>
    <font>
      <sz val="10"/>
      <color rgb="FF253848"/>
      <name val="Carlito"/>
    </font>
    <font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067E8A"/>
      </patternFill>
    </fill>
    <fill>
      <patternFill patternType="solid">
        <fgColor rgb="FF16324F"/>
      </patternFill>
    </fill>
    <fill>
      <patternFill patternType="solid">
        <fgColor rgb="FFFFF4D5"/>
      </patternFill>
    </fill>
    <fill>
      <patternFill patternType="solid">
        <fgColor rgb="FFE8F3F4"/>
      </patternFill>
    </fill>
    <fill>
      <patternFill patternType="solid">
        <fgColor rgb="FFFFFFFF"/>
      </patternFill>
    </fill>
    <fill>
      <patternFill patternType="solid">
        <fgColor rgb="FFE7E7E7"/>
      </patternFill>
    </fill>
    <fill>
      <patternFill patternType="solid">
        <fgColor rgb="FFF1F1F1"/>
      </patternFill>
    </fill>
    <fill>
      <patternFill patternType="solid">
        <fgColor rgb="FFFFFDF4"/>
      </patternFill>
    </fill>
    <fill>
      <patternFill patternType="solid">
        <fgColor rgb="FFE4EBEE"/>
      </patternFill>
    </fill>
    <fill>
      <patternFill patternType="solid">
        <fgColor rgb="FFEEF3F5"/>
      </patternFill>
    </fill>
    <fill>
      <patternFill patternType="solid">
        <fgColor rgb="FFF1F5F7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5" fillId="0" borderId="0"/>
  </cellStyleXfs>
  <cellXfs count="37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center" wrapText="1"/>
    </xf>
    <xf numFmtId="0" fontId="0" fillId="4" borderId="0" xfId="1" applyFont="1" applyFill="1" applyAlignment="1">
      <alignment wrapText="1"/>
    </xf>
    <xf numFmtId="0" fontId="3" fillId="6" borderId="0" xfId="1" applyFont="1" applyFill="1" applyAlignment="1">
      <alignment vertical="center"/>
    </xf>
    <xf numFmtId="0" fontId="4" fillId="7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0" fontId="5" fillId="5" borderId="0" xfId="1" applyFont="1" applyFill="1"/>
    <xf numFmtId="0" fontId="0" fillId="9" borderId="0" xfId="1" applyFont="1" applyFill="1" applyAlignment="1">
      <alignment vertical="center" wrapText="1"/>
    </xf>
    <xf numFmtId="0" fontId="6" fillId="10" borderId="0" xfId="1" applyFont="1" applyFill="1" applyAlignment="1">
      <alignment horizontal="center" vertical="center" wrapText="1"/>
    </xf>
    <xf numFmtId="0" fontId="7" fillId="10" borderId="0" xfId="1" applyFont="1" applyFill="1" applyAlignment="1">
      <alignment horizontal="center" vertical="center"/>
    </xf>
    <xf numFmtId="0" fontId="6" fillId="11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center"/>
    </xf>
    <xf numFmtId="0" fontId="7" fillId="11" borderId="0" xfId="1" applyFont="1" applyFill="1" applyAlignment="1">
      <alignment horizontal="center"/>
    </xf>
    <xf numFmtId="0" fontId="5" fillId="13" borderId="0" xfId="1" applyFont="1" applyFill="1" applyAlignment="1">
      <alignment horizontal="center" vertical="center" wrapText="1"/>
    </xf>
    <xf numFmtId="0" fontId="5" fillId="13" borderId="0" xfId="1" applyFont="1" applyFill="1" applyAlignment="1">
      <alignment horizontal="left" vertical="center" wrapText="1"/>
    </xf>
    <xf numFmtId="0" fontId="0" fillId="13" borderId="0" xfId="1" applyFont="1" applyFill="1" applyAlignment="1">
      <alignment horizontal="left" wrapText="1"/>
    </xf>
    <xf numFmtId="0" fontId="9" fillId="13" borderId="0" xfId="1" applyFont="1" applyFill="1" applyAlignment="1">
      <alignment wrapText="1"/>
    </xf>
    <xf numFmtId="0" fontId="12" fillId="12" borderId="0" xfId="1" applyFont="1" applyFill="1" applyAlignment="1">
      <alignment vertical="center"/>
    </xf>
    <xf numFmtId="0" fontId="13" fillId="12" borderId="0" xfId="1" applyFont="1" applyFill="1" applyAlignment="1">
      <alignment vertical="center"/>
    </xf>
    <xf numFmtId="0" fontId="6" fillId="13" borderId="0" xfId="1" applyFont="1" applyFill="1" applyAlignment="1">
      <alignment horizontal="left" vertical="center" wrapText="1"/>
    </xf>
    <xf numFmtId="0" fontId="7" fillId="13" borderId="0" xfId="1" applyFont="1" applyFill="1" applyAlignment="1">
      <alignment horizontal="left" vertical="center" wrapText="1"/>
    </xf>
    <xf numFmtId="0" fontId="3" fillId="6" borderId="0" xfId="1" applyFont="1" applyFill="1" applyAlignment="1">
      <alignment vertical="center"/>
    </xf>
    <xf numFmtId="0" fontId="1" fillId="2" borderId="0" xfId="1" applyFont="1" applyFill="1" applyAlignment="1">
      <alignment vertical="center"/>
    </xf>
    <xf numFmtId="0" fontId="0" fillId="4" borderId="0" xfId="1" applyFont="1" applyFill="1" applyAlignment="1">
      <alignment wrapText="1"/>
    </xf>
    <xf numFmtId="0" fontId="8" fillId="12" borderId="0" xfId="1" applyFont="1" applyFill="1" applyAlignment="1">
      <alignment vertical="center"/>
    </xf>
    <xf numFmtId="0" fontId="3" fillId="12" borderId="0" xfId="1" applyFont="1" applyFill="1" applyAlignment="1">
      <alignment vertical="center"/>
    </xf>
    <xf numFmtId="0" fontId="9" fillId="0" borderId="0" xfId="1" applyFont="1" applyAlignment="1">
      <alignment vertical="center" wrapText="1"/>
    </xf>
    <xf numFmtId="0" fontId="0" fillId="0" borderId="0" xfId="1" applyFont="1" applyAlignment="1">
      <alignment vertical="center" wrapText="1"/>
    </xf>
    <xf numFmtId="0" fontId="0" fillId="0" borderId="0" xfId="0"/>
    <xf numFmtId="0" fontId="10" fillId="13" borderId="0" xfId="1" applyFont="1" applyFill="1" applyAlignment="1">
      <alignment horizontal="left" vertical="center" wrapText="1"/>
    </xf>
    <xf numFmtId="0" fontId="11" fillId="13" borderId="0" xfId="1" applyFont="1" applyFill="1" applyAlignment="1">
      <alignment wrapText="1"/>
    </xf>
    <xf numFmtId="0" fontId="14" fillId="13" borderId="0" xfId="1" applyFont="1" applyFill="1" applyAlignment="1">
      <alignment horizontal="left" vertical="center" wrapText="1"/>
    </xf>
    <xf numFmtId="22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ปกติ" xfId="0" builtinId="0"/>
  </cellStyles>
  <dxfs count="4">
    <dxf>
      <fill>
        <patternFill>
          <bgColor rgb="FFEDF0F4"/>
        </patternFill>
      </fill>
    </dxf>
    <dxf>
      <fill>
        <patternFill>
          <bgColor rgb="FFFFF0C8"/>
        </patternFill>
      </fill>
    </dxf>
    <dxf>
      <fill>
        <patternFill>
          <bgColor rgb="FFFFE0DF"/>
        </patternFill>
      </fill>
    </dxf>
    <dxf>
      <fill>
        <patternFill>
          <bgColor rgb="FFD9F0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opLeftCell="A12" workbookViewId="0">
      <selection activeCell="B16" sqref="B16"/>
    </sheetView>
  </sheetViews>
  <sheetFormatPr defaultRowHeight="13.8"/>
  <cols>
    <col min="1" max="1" width="25" customWidth="1"/>
    <col min="2" max="2" width="81" customWidth="1"/>
  </cols>
  <sheetData>
    <row r="1" spans="1:13" ht="26.4" customHeight="1">
      <c r="A1" s="25" t="s">
        <v>0</v>
      </c>
      <c r="B1" s="25"/>
      <c r="C1" s="25"/>
      <c r="D1" s="25"/>
      <c r="E1" s="25"/>
      <c r="F1" s="25"/>
      <c r="G1" s="25"/>
      <c r="H1" s="5"/>
      <c r="I1" s="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  <c r="G2" s="26"/>
    </row>
    <row r="4" spans="1:13" ht="27.15" customHeight="1">
      <c r="A4" s="6" t="s">
        <v>1</v>
      </c>
      <c r="B4" s="6" t="s">
        <v>2</v>
      </c>
    </row>
    <row r="5" spans="1:13" ht="23.25" customHeight="1">
      <c r="A5" s="8" t="s">
        <v>3</v>
      </c>
      <c r="B5" s="3" t="s">
        <v>4</v>
      </c>
    </row>
    <row r="6" spans="1:13" ht="23.25" customHeight="1">
      <c r="A6" s="8" t="s">
        <v>5</v>
      </c>
      <c r="B6" s="3" t="s">
        <v>6</v>
      </c>
    </row>
    <row r="7" spans="1:13" ht="23.25" customHeight="1">
      <c r="A7" s="8" t="s">
        <v>7</v>
      </c>
      <c r="B7" s="3" t="s">
        <v>8</v>
      </c>
    </row>
    <row r="8" spans="1:13" ht="28.05" customHeight="1">
      <c r="A8" s="8" t="s">
        <v>9</v>
      </c>
      <c r="B8" s="3" t="s">
        <v>10</v>
      </c>
    </row>
    <row r="9" spans="1:13" ht="28.05" customHeight="1">
      <c r="A9" s="8" t="s">
        <v>11</v>
      </c>
      <c r="B9" s="3" t="s">
        <v>12</v>
      </c>
    </row>
    <row r="10" spans="1:13" ht="28.05" customHeight="1">
      <c r="A10" s="8" t="s">
        <v>13</v>
      </c>
      <c r="B10" s="3" t="s">
        <v>14</v>
      </c>
    </row>
    <row r="11" spans="1:13" ht="28.05" customHeight="1">
      <c r="A11" s="8" t="s">
        <v>15</v>
      </c>
      <c r="B11" s="3" t="s">
        <v>290</v>
      </c>
    </row>
    <row r="12" spans="1:13" ht="28.05" customHeight="1">
      <c r="A12" s="8" t="s">
        <v>16</v>
      </c>
      <c r="B12" s="3" t="s">
        <v>291</v>
      </c>
    </row>
    <row r="13" spans="1:13" ht="28.05" customHeight="1">
      <c r="A13" s="8" t="s">
        <v>17</v>
      </c>
      <c r="B13" s="3" t="s">
        <v>18</v>
      </c>
    </row>
    <row r="16" spans="1:13" ht="21.6" customHeight="1">
      <c r="A16" s="7" t="s">
        <v>19</v>
      </c>
      <c r="B16" s="7" t="s">
        <v>20</v>
      </c>
    </row>
    <row r="17" spans="1:2">
      <c r="A17" t="s">
        <v>21</v>
      </c>
      <c r="B17" t="s">
        <v>22</v>
      </c>
    </row>
    <row r="18" spans="1:2">
      <c r="A18" t="s">
        <v>23</v>
      </c>
      <c r="B18" t="s">
        <v>24</v>
      </c>
    </row>
    <row r="19" spans="1:2">
      <c r="A19" t="s">
        <v>25</v>
      </c>
      <c r="B19" t="s">
        <v>26</v>
      </c>
    </row>
    <row r="20" spans="1:2">
      <c r="A20" t="s">
        <v>27</v>
      </c>
      <c r="B20" t="s">
        <v>28</v>
      </c>
    </row>
    <row r="21" spans="1:2">
      <c r="A21" t="s">
        <v>29</v>
      </c>
      <c r="B21" t="s">
        <v>30</v>
      </c>
    </row>
    <row r="22" spans="1:2">
      <c r="A22" t="s">
        <v>31</v>
      </c>
      <c r="B22" t="s">
        <v>32</v>
      </c>
    </row>
    <row r="25" spans="1:2" ht="25.65" customHeight="1">
      <c r="A25" s="7" t="s">
        <v>33</v>
      </c>
      <c r="B25" s="7" t="s">
        <v>34</v>
      </c>
    </row>
    <row r="26" spans="1:2" ht="25.65" customHeight="1">
      <c r="A26" s="2" t="s">
        <v>35</v>
      </c>
      <c r="B26" s="2" t="s">
        <v>36</v>
      </c>
    </row>
    <row r="27" spans="1:2" ht="25.65" customHeight="1">
      <c r="A27" s="2"/>
      <c r="B27" s="2"/>
    </row>
    <row r="28" spans="1:2" ht="25.65" customHeight="1">
      <c r="A28" s="2"/>
      <c r="B28" s="2"/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"/>
  <sheetViews>
    <sheetView workbookViewId="0">
      <selection sqref="A1:I2"/>
    </sheetView>
  </sheetViews>
  <sheetFormatPr defaultRowHeight="13.8"/>
  <cols>
    <col min="1" max="1" width="18" customWidth="1"/>
    <col min="2" max="2" width="14" customWidth="1"/>
    <col min="3" max="3" width="65" customWidth="1"/>
    <col min="4" max="4" width="15" customWidth="1"/>
    <col min="5" max="6" width="11" customWidth="1"/>
    <col min="7" max="8" width="12" customWidth="1"/>
    <col min="9" max="9" width="28" customWidth="1"/>
  </cols>
  <sheetData>
    <row r="1" spans="1:13" ht="26.4" customHeight="1">
      <c r="A1" s="25" t="s">
        <v>37</v>
      </c>
      <c r="B1" s="25"/>
      <c r="C1" s="25"/>
      <c r="D1" s="25"/>
      <c r="E1" s="25"/>
      <c r="F1" s="25"/>
      <c r="G1" s="25"/>
      <c r="H1" s="25"/>
      <c r="I1" s="2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  <c r="G2" s="26"/>
      <c r="H2" s="26"/>
      <c r="I2" s="26"/>
    </row>
    <row r="4" spans="1:13" ht="27.15" customHeight="1">
      <c r="A4" s="6" t="s">
        <v>38</v>
      </c>
      <c r="B4" s="6" t="s">
        <v>39</v>
      </c>
      <c r="C4" s="6" t="s">
        <v>40</v>
      </c>
      <c r="D4" s="6" t="s">
        <v>41</v>
      </c>
      <c r="E4" s="6" t="s">
        <v>42</v>
      </c>
      <c r="F4" s="6" t="s">
        <v>43</v>
      </c>
      <c r="G4" s="6" t="s">
        <v>44</v>
      </c>
      <c r="H4" s="6" t="s">
        <v>45</v>
      </c>
      <c r="I4" s="6" t="s">
        <v>46</v>
      </c>
    </row>
    <row r="5" spans="1:13" ht="24.75" customHeight="1">
      <c r="A5" s="3" t="s">
        <v>47</v>
      </c>
      <c r="B5" s="3" t="s">
        <v>48</v>
      </c>
      <c r="C5" s="3" t="s">
        <v>49</v>
      </c>
      <c r="D5" s="3">
        <f>COUNTIF('Test Case Design &amp; Test Results'!$B$5:$B$250,B5)</f>
        <v>12</v>
      </c>
      <c r="E5" s="3">
        <f>COUNTIFS('Test Case Design &amp; Test Results'!$B$5:$B$250,B5,'Test Case Design &amp; Test Results'!$J$5:$J$250,"Pass")</f>
        <v>12</v>
      </c>
      <c r="F5" s="3">
        <f>COUNTIFS('Test Case Design &amp; Test Results'!$B$5:$B$250,B5,'Test Case Design &amp; Test Results'!$J$5:$J$250,"Fail")</f>
        <v>0</v>
      </c>
      <c r="G5" s="3">
        <f>COUNTIFS('Test Case Design &amp; Test Results'!$B$5:$B$250,B5,'Test Case Design &amp; Test Results'!$J$5:$J$250,"No run")</f>
        <v>0</v>
      </c>
      <c r="H5" s="3">
        <f>COUNTIFS('Test Case Design &amp; Test Results'!$B$5:$B$250,B5,'Test Case Design &amp; Test Results'!$J$5:$J$250,"Block")</f>
        <v>0</v>
      </c>
      <c r="I5" s="3" t="s">
        <v>50</v>
      </c>
    </row>
    <row r="6" spans="1:13" ht="24.75" customHeight="1">
      <c r="A6" s="3" t="s">
        <v>51</v>
      </c>
      <c r="B6" s="3" t="s">
        <v>52</v>
      </c>
      <c r="C6" s="3" t="s">
        <v>53</v>
      </c>
      <c r="D6" s="3">
        <f>COUNTIF('Test Case Design &amp; Test Results'!$B$5:$B$250,B6)</f>
        <v>11</v>
      </c>
      <c r="E6" s="3">
        <f>COUNTIFS('Test Case Design &amp; Test Results'!$B$5:$B$250,B6,'Test Case Design &amp; Test Results'!$J$5:$J$250,"Pass")</f>
        <v>11</v>
      </c>
      <c r="F6" s="3">
        <f>COUNTIFS('Test Case Design &amp; Test Results'!$B$5:$B$250,B6,'Test Case Design &amp; Test Results'!$J$5:$J$250,"Fail")</f>
        <v>0</v>
      </c>
      <c r="G6" s="3">
        <f>COUNTIFS('Test Case Design &amp; Test Results'!$B$5:$B$250,B6,'Test Case Design &amp; Test Results'!$J$5:$J$250,"No run")</f>
        <v>0</v>
      </c>
      <c r="H6" s="3">
        <f>COUNTIFS('Test Case Design &amp; Test Results'!$B$5:$B$250,B6,'Test Case Design &amp; Test Results'!$J$5:$J$250,"Block")</f>
        <v>0</v>
      </c>
      <c r="I6" s="3" t="s">
        <v>54</v>
      </c>
    </row>
    <row r="8" spans="1:13" ht="27.15" customHeight="1">
      <c r="A8" s="27" t="s">
        <v>55</v>
      </c>
      <c r="B8" s="27"/>
      <c r="C8" s="27"/>
      <c r="D8" s="27"/>
      <c r="E8" s="27"/>
      <c r="F8" s="27"/>
      <c r="G8" s="27"/>
      <c r="H8" s="27"/>
      <c r="I8" s="27"/>
    </row>
  </sheetData>
  <mergeCells count="2">
    <mergeCell ref="A1:I2"/>
    <mergeCell ref="A8:I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"/>
  <sheetViews>
    <sheetView workbookViewId="0">
      <selection sqref="A1:K2"/>
    </sheetView>
  </sheetViews>
  <sheetFormatPr defaultRowHeight="13.8"/>
  <cols>
    <col min="1" max="1" width="16" customWidth="1"/>
    <col min="2" max="2" width="17" customWidth="1"/>
    <col min="3" max="3" width="34" customWidth="1"/>
    <col min="4" max="5" width="16" customWidth="1"/>
    <col min="6" max="6" width="21" customWidth="1"/>
    <col min="7" max="9" width="16" customWidth="1"/>
    <col min="10" max="10" width="17" customWidth="1"/>
    <col min="11" max="11" width="47" customWidth="1"/>
  </cols>
  <sheetData>
    <row r="1" spans="1:13" ht="26.4" customHeight="1">
      <c r="A1" s="25" t="s">
        <v>56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5"/>
      <c r="M1" s="5"/>
    </row>
    <row r="2" spans="1:13" ht="28.8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</row>
    <row r="4" spans="1:13" ht="27.15" customHeight="1">
      <c r="A4" s="6" t="s">
        <v>57</v>
      </c>
      <c r="B4" s="6" t="s">
        <v>58</v>
      </c>
      <c r="C4" s="6" t="s">
        <v>59</v>
      </c>
      <c r="D4" s="6" t="s">
        <v>60</v>
      </c>
      <c r="E4" s="6" t="s">
        <v>61</v>
      </c>
      <c r="F4" s="6" t="s">
        <v>62</v>
      </c>
      <c r="G4" s="6" t="s">
        <v>63</v>
      </c>
      <c r="H4" s="6" t="s">
        <v>64</v>
      </c>
      <c r="I4" s="6" t="s">
        <v>65</v>
      </c>
      <c r="J4" s="6" t="s">
        <v>66</v>
      </c>
      <c r="K4" s="6" t="s">
        <v>67</v>
      </c>
    </row>
    <row r="6" spans="1:13" ht="33.6" customHeight="1">
      <c r="A6" s="4" t="s">
        <v>68</v>
      </c>
      <c r="B6" s="27"/>
      <c r="C6" s="27"/>
      <c r="D6" s="27"/>
      <c r="E6" s="27"/>
      <c r="F6" s="27"/>
      <c r="G6" s="27"/>
      <c r="H6" s="27"/>
      <c r="I6" s="27"/>
      <c r="J6" s="27"/>
      <c r="K6" s="27"/>
    </row>
  </sheetData>
  <mergeCells count="2">
    <mergeCell ref="A1:K2"/>
    <mergeCell ref="B6:K6"/>
  </mergeCells>
  <dataValidations count="2">
    <dataValidation type="list" sqref="G5:G100" xr:uid="{00000000-0002-0000-0200-000000000000}">
      <formula1>"Open,In progress,Resolved,Closed"</formula1>
    </dataValidation>
    <dataValidation type="list" sqref="H5:I100" xr:uid="{00000000-0002-0000-0200-000001000000}">
      <formula1>"Low,Medium,High,Critical"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"/>
  <sheetViews>
    <sheetView topLeftCell="A7" workbookViewId="0">
      <selection sqref="A1:F2"/>
    </sheetView>
  </sheetViews>
  <sheetFormatPr defaultRowHeight="13.8"/>
  <cols>
    <col min="1" max="1" width="19" customWidth="1"/>
    <col min="2" max="3" width="36" customWidth="1"/>
    <col min="4" max="4" width="37" customWidth="1"/>
    <col min="5" max="5" width="50" customWidth="1"/>
    <col min="6" max="6" width="12" customWidth="1"/>
  </cols>
  <sheetData>
    <row r="1" spans="1:13" ht="26.4" customHeight="1">
      <c r="A1" s="25" t="s">
        <v>69</v>
      </c>
      <c r="B1" s="25"/>
      <c r="C1" s="25"/>
      <c r="D1" s="25"/>
      <c r="E1" s="25"/>
      <c r="F1" s="25"/>
      <c r="G1" s="5"/>
      <c r="H1" s="5"/>
      <c r="I1" s="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</row>
    <row r="4" spans="1:13" ht="19.2" customHeight="1">
      <c r="A4" s="9" t="s">
        <v>39</v>
      </c>
      <c r="B4" t="s">
        <v>48</v>
      </c>
    </row>
    <row r="5" spans="1:13" ht="19.2" customHeight="1">
      <c r="A5" s="9" t="s">
        <v>38</v>
      </c>
      <c r="B5" t="s">
        <v>47</v>
      </c>
    </row>
    <row r="6" spans="1:13" ht="19.2" customHeight="1">
      <c r="A6" s="9" t="s">
        <v>40</v>
      </c>
      <c r="B6" t="s">
        <v>70</v>
      </c>
    </row>
    <row r="7" spans="1:13" ht="19.2" customHeight="1">
      <c r="A7" s="9" t="s">
        <v>9</v>
      </c>
      <c r="B7" t="s">
        <v>50</v>
      </c>
    </row>
    <row r="8" spans="1:13" ht="19.2" customHeight="1">
      <c r="A8" s="9" t="s">
        <v>71</v>
      </c>
      <c r="B8" t="s">
        <v>72</v>
      </c>
    </row>
    <row r="9" spans="1:13" ht="19.2" customHeight="1">
      <c r="A9" s="9" t="s">
        <v>73</v>
      </c>
      <c r="B9" t="s">
        <v>74</v>
      </c>
    </row>
    <row r="11" spans="1:13" ht="27.15" customHeight="1">
      <c r="A11" s="6" t="s">
        <v>75</v>
      </c>
      <c r="B11" s="6" t="s">
        <v>2</v>
      </c>
      <c r="C11" s="6" t="s">
        <v>76</v>
      </c>
      <c r="D11" s="6" t="s">
        <v>77</v>
      </c>
      <c r="E11" s="6" t="s">
        <v>78</v>
      </c>
    </row>
    <row r="12" spans="1:13" ht="38.4" customHeight="1">
      <c r="A12" s="3">
        <v>1</v>
      </c>
      <c r="B12" s="3" t="s">
        <v>79</v>
      </c>
      <c r="C12" s="3" t="s">
        <v>80</v>
      </c>
      <c r="D12" s="3" t="s">
        <v>81</v>
      </c>
      <c r="E12" s="3" t="s">
        <v>82</v>
      </c>
    </row>
    <row r="13" spans="1:13" ht="38.4" customHeight="1">
      <c r="A13" s="3">
        <v>2</v>
      </c>
      <c r="B13" s="3" t="s">
        <v>83</v>
      </c>
      <c r="C13" s="3" t="s">
        <v>84</v>
      </c>
      <c r="D13" s="3" t="s">
        <v>85</v>
      </c>
      <c r="E13" s="3" t="s">
        <v>86</v>
      </c>
    </row>
    <row r="14" spans="1:13" ht="38.4" customHeight="1">
      <c r="A14" s="3">
        <v>3</v>
      </c>
      <c r="B14" s="3" t="s">
        <v>87</v>
      </c>
      <c r="C14" s="3" t="s">
        <v>88</v>
      </c>
      <c r="D14" s="3" t="s">
        <v>89</v>
      </c>
      <c r="E14" s="3" t="s">
        <v>90</v>
      </c>
    </row>
    <row r="15" spans="1:13" ht="38.4" customHeight="1">
      <c r="A15" s="3">
        <v>4</v>
      </c>
      <c r="B15" s="3" t="s">
        <v>91</v>
      </c>
      <c r="C15" s="3" t="s">
        <v>92</v>
      </c>
      <c r="D15" s="3" t="s">
        <v>93</v>
      </c>
      <c r="E15" s="3" t="s">
        <v>94</v>
      </c>
    </row>
    <row r="18" spans="1:2" ht="21.6" customHeight="1">
      <c r="A18" s="7" t="s">
        <v>76</v>
      </c>
      <c r="B18" s="7" t="s">
        <v>2</v>
      </c>
    </row>
    <row r="19" spans="1:2" ht="25.65" customHeight="1">
      <c r="A19" t="s">
        <v>95</v>
      </c>
      <c r="B19" t="s">
        <v>96</v>
      </c>
    </row>
    <row r="20" spans="1:2" ht="25.65" customHeight="1">
      <c r="A20" t="s">
        <v>97</v>
      </c>
      <c r="B20" t="s">
        <v>98</v>
      </c>
    </row>
    <row r="21" spans="1:2" ht="25.65" customHeight="1">
      <c r="A21" t="s">
        <v>99</v>
      </c>
      <c r="B21" t="s">
        <v>100</v>
      </c>
    </row>
  </sheetData>
  <mergeCells count="1">
    <mergeCell ref="A1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1"/>
  <sheetViews>
    <sheetView workbookViewId="0">
      <selection sqref="A1:F2"/>
    </sheetView>
  </sheetViews>
  <sheetFormatPr defaultRowHeight="13.8"/>
  <cols>
    <col min="1" max="1" width="19" customWidth="1"/>
    <col min="2" max="3" width="36" customWidth="1"/>
    <col min="4" max="4" width="37" customWidth="1"/>
    <col min="5" max="5" width="50" customWidth="1"/>
    <col min="6" max="6" width="12" customWidth="1"/>
  </cols>
  <sheetData>
    <row r="1" spans="1:13" ht="26.4" customHeight="1">
      <c r="A1" s="25" t="s">
        <v>101</v>
      </c>
      <c r="B1" s="25"/>
      <c r="C1" s="25"/>
      <c r="D1" s="25"/>
      <c r="E1" s="25"/>
      <c r="F1" s="25"/>
      <c r="G1" s="5"/>
      <c r="H1" s="5"/>
      <c r="I1" s="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</row>
    <row r="4" spans="1:13" ht="19.2" customHeight="1">
      <c r="A4" s="9" t="s">
        <v>39</v>
      </c>
      <c r="B4" t="s">
        <v>52</v>
      </c>
    </row>
    <row r="5" spans="1:13" ht="19.2" customHeight="1">
      <c r="A5" s="9" t="s">
        <v>38</v>
      </c>
      <c r="B5" t="s">
        <v>51</v>
      </c>
    </row>
    <row r="6" spans="1:13" ht="19.2" customHeight="1">
      <c r="A6" s="9" t="s">
        <v>40</v>
      </c>
      <c r="B6" t="s">
        <v>102</v>
      </c>
    </row>
    <row r="7" spans="1:13" ht="19.2" customHeight="1">
      <c r="A7" s="9" t="s">
        <v>9</v>
      </c>
      <c r="B7" t="s">
        <v>54</v>
      </c>
    </row>
    <row r="8" spans="1:13" ht="19.2" customHeight="1">
      <c r="A8" s="9" t="s">
        <v>71</v>
      </c>
      <c r="B8" t="s">
        <v>103</v>
      </c>
    </row>
    <row r="9" spans="1:13" ht="19.2" customHeight="1">
      <c r="A9" s="9" t="s">
        <v>73</v>
      </c>
      <c r="B9" t="s">
        <v>104</v>
      </c>
    </row>
    <row r="11" spans="1:13" ht="27.15" customHeight="1">
      <c r="A11" s="6" t="s">
        <v>75</v>
      </c>
      <c r="B11" s="6" t="s">
        <v>2</v>
      </c>
      <c r="C11" s="6" t="s">
        <v>76</v>
      </c>
      <c r="D11" s="6" t="s">
        <v>77</v>
      </c>
      <c r="E11" s="6" t="s">
        <v>78</v>
      </c>
    </row>
    <row r="12" spans="1:13" ht="38.4" customHeight="1">
      <c r="A12" s="3">
        <v>1</v>
      </c>
      <c r="B12" s="3" t="s">
        <v>79</v>
      </c>
      <c r="C12" s="3" t="s">
        <v>80</v>
      </c>
      <c r="D12" s="3" t="s">
        <v>81</v>
      </c>
      <c r="E12" s="3" t="s">
        <v>82</v>
      </c>
    </row>
    <row r="13" spans="1:13" ht="38.4" customHeight="1">
      <c r="A13" s="3">
        <v>2</v>
      </c>
      <c r="B13" s="3" t="s">
        <v>105</v>
      </c>
      <c r="C13" s="3" t="s">
        <v>84</v>
      </c>
      <c r="D13" s="3" t="s">
        <v>85</v>
      </c>
      <c r="E13" s="3" t="s">
        <v>86</v>
      </c>
    </row>
    <row r="14" spans="1:13" ht="38.4" customHeight="1">
      <c r="A14" s="3">
        <v>3</v>
      </c>
      <c r="B14" s="3" t="s">
        <v>87</v>
      </c>
      <c r="C14" s="3" t="s">
        <v>88</v>
      </c>
      <c r="D14" s="3" t="s">
        <v>89</v>
      </c>
      <c r="E14" s="3" t="s">
        <v>90</v>
      </c>
    </row>
    <row r="15" spans="1:13" ht="38.4" customHeight="1">
      <c r="A15" s="3">
        <v>4</v>
      </c>
      <c r="B15" s="3" t="s">
        <v>91</v>
      </c>
      <c r="C15" s="3" t="s">
        <v>92</v>
      </c>
      <c r="D15" s="3" t="s">
        <v>93</v>
      </c>
      <c r="E15" s="3" t="s">
        <v>94</v>
      </c>
    </row>
    <row r="18" spans="1:2" ht="21.6" customHeight="1">
      <c r="A18" s="7" t="s">
        <v>76</v>
      </c>
      <c r="B18" s="7" t="s">
        <v>2</v>
      </c>
    </row>
    <row r="19" spans="1:2" ht="25.65" customHeight="1">
      <c r="A19" t="s">
        <v>95</v>
      </c>
      <c r="B19" t="s">
        <v>96</v>
      </c>
    </row>
    <row r="20" spans="1:2" ht="25.65" customHeight="1">
      <c r="A20" t="s">
        <v>106</v>
      </c>
      <c r="B20" t="s">
        <v>107</v>
      </c>
    </row>
    <row r="21" spans="1:2" ht="25.65" customHeight="1">
      <c r="A21" t="s">
        <v>99</v>
      </c>
      <c r="B21" t="s">
        <v>100</v>
      </c>
    </row>
  </sheetData>
  <mergeCells count="1">
    <mergeCell ref="A1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topLeftCell="L4" workbookViewId="0">
      <selection sqref="A1:M2"/>
    </sheetView>
  </sheetViews>
  <sheetFormatPr defaultRowHeight="13.8"/>
  <cols>
    <col min="1" max="2" width="14" customWidth="1"/>
    <col min="3" max="3" width="15" customWidth="1"/>
    <col min="4" max="5" width="24" customWidth="1"/>
    <col min="6" max="6" width="47" customWidth="1"/>
    <col min="7" max="7" width="42" customWidth="1"/>
    <col min="8" max="8" width="51" customWidth="1"/>
    <col min="9" max="9" width="36" customWidth="1"/>
    <col min="10" max="10" width="15" customWidth="1"/>
    <col min="11" max="11" width="31" customWidth="1"/>
    <col min="12" max="12" width="56" customWidth="1"/>
    <col min="13" max="13" width="32" customWidth="1"/>
  </cols>
  <sheetData>
    <row r="1" spans="1:13" ht="26.4" customHeight="1">
      <c r="A1" s="25" t="s">
        <v>108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ht="28.8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4" spans="1:13" ht="27.15" customHeight="1">
      <c r="A4" s="6" t="s">
        <v>38</v>
      </c>
      <c r="B4" s="6" t="s">
        <v>39</v>
      </c>
      <c r="C4" s="6" t="s">
        <v>109</v>
      </c>
      <c r="D4" s="6" t="s">
        <v>110</v>
      </c>
      <c r="E4" s="6" t="s">
        <v>9</v>
      </c>
      <c r="F4" s="6" t="s">
        <v>76</v>
      </c>
      <c r="G4" s="6" t="s">
        <v>111</v>
      </c>
      <c r="H4" s="6" t="s">
        <v>78</v>
      </c>
      <c r="I4" s="6" t="s">
        <v>112</v>
      </c>
      <c r="J4" s="6" t="s">
        <v>63</v>
      </c>
      <c r="K4" s="6" t="s">
        <v>113</v>
      </c>
      <c r="L4" s="6" t="s">
        <v>114</v>
      </c>
      <c r="M4" s="6" t="s">
        <v>115</v>
      </c>
    </row>
    <row r="5" spans="1:13" ht="32.85" customHeight="1">
      <c r="A5" s="3" t="s">
        <v>47</v>
      </c>
      <c r="B5" s="3" t="s">
        <v>48</v>
      </c>
      <c r="C5" s="3" t="s">
        <v>116</v>
      </c>
      <c r="D5" s="3" t="s">
        <v>117</v>
      </c>
      <c r="E5" s="3" t="s">
        <v>50</v>
      </c>
      <c r="F5" s="3" t="s">
        <v>118</v>
      </c>
      <c r="G5" s="3" t="s">
        <v>119</v>
      </c>
      <c r="H5" s="3" t="s">
        <v>120</v>
      </c>
      <c r="I5" s="10" t="s">
        <v>121</v>
      </c>
      <c r="J5" s="10" t="s">
        <v>122</v>
      </c>
      <c r="K5" s="3" t="s">
        <v>123</v>
      </c>
      <c r="L5" s="3" t="s">
        <v>124</v>
      </c>
      <c r="M5" s="3" t="s">
        <v>125</v>
      </c>
    </row>
    <row r="6" spans="1:13" ht="32.85" customHeight="1">
      <c r="A6" s="3" t="s">
        <v>47</v>
      </c>
      <c r="B6" s="3" t="s">
        <v>48</v>
      </c>
      <c r="C6" s="3" t="s">
        <v>126</v>
      </c>
      <c r="D6" s="3" t="s">
        <v>127</v>
      </c>
      <c r="E6" s="3" t="s">
        <v>50</v>
      </c>
      <c r="F6" s="3" t="s">
        <v>128</v>
      </c>
      <c r="G6" s="3" t="s">
        <v>129</v>
      </c>
      <c r="H6" s="3" t="s">
        <v>130</v>
      </c>
      <c r="I6" s="10" t="s">
        <v>121</v>
      </c>
      <c r="J6" s="10" t="s">
        <v>122</v>
      </c>
      <c r="K6" s="3" t="s">
        <v>123</v>
      </c>
      <c r="L6" s="3" t="s">
        <v>131</v>
      </c>
      <c r="M6" s="3" t="s">
        <v>125</v>
      </c>
    </row>
    <row r="7" spans="1:13" ht="32.85" customHeight="1">
      <c r="A7" s="3" t="s">
        <v>47</v>
      </c>
      <c r="B7" s="3" t="s">
        <v>48</v>
      </c>
      <c r="C7" s="3" t="s">
        <v>132</v>
      </c>
      <c r="D7" s="3" t="s">
        <v>127</v>
      </c>
      <c r="E7" s="3" t="s">
        <v>50</v>
      </c>
      <c r="F7" s="3" t="s">
        <v>133</v>
      </c>
      <c r="G7" s="3" t="s">
        <v>129</v>
      </c>
      <c r="H7" s="3" t="s">
        <v>134</v>
      </c>
      <c r="I7" s="10" t="s">
        <v>121</v>
      </c>
      <c r="J7" s="10" t="s">
        <v>122</v>
      </c>
      <c r="K7" s="3" t="s">
        <v>123</v>
      </c>
      <c r="L7" s="3" t="s">
        <v>135</v>
      </c>
      <c r="M7" s="3" t="s">
        <v>125</v>
      </c>
    </row>
    <row r="8" spans="1:13" ht="32.85" customHeight="1">
      <c r="A8" s="3" t="s">
        <v>47</v>
      </c>
      <c r="B8" s="3" t="s">
        <v>48</v>
      </c>
      <c r="C8" s="3" t="s">
        <v>136</v>
      </c>
      <c r="D8" s="3" t="s">
        <v>127</v>
      </c>
      <c r="E8" s="3" t="s">
        <v>50</v>
      </c>
      <c r="F8" s="3" t="s">
        <v>137</v>
      </c>
      <c r="G8" s="3" t="s">
        <v>129</v>
      </c>
      <c r="H8" s="3" t="s">
        <v>134</v>
      </c>
      <c r="I8" s="10" t="s">
        <v>121</v>
      </c>
      <c r="J8" s="10" t="s">
        <v>122</v>
      </c>
      <c r="K8" s="3" t="s">
        <v>123</v>
      </c>
      <c r="L8" s="3" t="s">
        <v>138</v>
      </c>
      <c r="M8" s="3" t="s">
        <v>125</v>
      </c>
    </row>
    <row r="9" spans="1:13" ht="32.85" customHeight="1">
      <c r="A9" s="3" t="s">
        <v>47</v>
      </c>
      <c r="B9" s="3" t="s">
        <v>48</v>
      </c>
      <c r="C9" s="3" t="s">
        <v>139</v>
      </c>
      <c r="D9" s="3" t="s">
        <v>127</v>
      </c>
      <c r="E9" s="3" t="s">
        <v>50</v>
      </c>
      <c r="F9" s="3" t="s">
        <v>140</v>
      </c>
      <c r="G9" s="3" t="s">
        <v>129</v>
      </c>
      <c r="H9" s="3" t="s">
        <v>141</v>
      </c>
      <c r="I9" s="10" t="s">
        <v>121</v>
      </c>
      <c r="J9" s="10" t="s">
        <v>122</v>
      </c>
      <c r="K9" s="3" t="s">
        <v>123</v>
      </c>
      <c r="L9" s="3" t="s">
        <v>142</v>
      </c>
      <c r="M9" s="3" t="s">
        <v>125</v>
      </c>
    </row>
    <row r="10" spans="1:13" ht="32.85" customHeight="1">
      <c r="A10" s="3" t="s">
        <v>47</v>
      </c>
      <c r="B10" s="3" t="s">
        <v>48</v>
      </c>
      <c r="C10" s="3" t="s">
        <v>143</v>
      </c>
      <c r="D10" s="3" t="s">
        <v>127</v>
      </c>
      <c r="E10" s="3" t="s">
        <v>50</v>
      </c>
      <c r="F10" s="3" t="s">
        <v>144</v>
      </c>
      <c r="G10" s="3" t="s">
        <v>129</v>
      </c>
      <c r="H10" s="3" t="s">
        <v>141</v>
      </c>
      <c r="I10" s="10" t="s">
        <v>121</v>
      </c>
      <c r="J10" s="10" t="s">
        <v>122</v>
      </c>
      <c r="K10" s="3" t="s">
        <v>123</v>
      </c>
      <c r="L10" s="3" t="s">
        <v>145</v>
      </c>
      <c r="M10" s="3" t="s">
        <v>125</v>
      </c>
    </row>
    <row r="11" spans="1:13" ht="32.85" customHeight="1">
      <c r="A11" s="3" t="s">
        <v>47</v>
      </c>
      <c r="B11" s="3" t="s">
        <v>48</v>
      </c>
      <c r="C11" s="3" t="s">
        <v>146</v>
      </c>
      <c r="D11" s="3" t="s">
        <v>147</v>
      </c>
      <c r="E11" s="3" t="s">
        <v>50</v>
      </c>
      <c r="F11" s="3" t="s">
        <v>148</v>
      </c>
      <c r="G11" s="3" t="s">
        <v>129</v>
      </c>
      <c r="H11" s="3" t="s">
        <v>149</v>
      </c>
      <c r="I11" s="10" t="s">
        <v>121</v>
      </c>
      <c r="J11" s="10" t="s">
        <v>122</v>
      </c>
      <c r="K11" s="3" t="s">
        <v>123</v>
      </c>
      <c r="L11" s="3" t="s">
        <v>150</v>
      </c>
      <c r="M11" s="3" t="s">
        <v>125</v>
      </c>
    </row>
    <row r="12" spans="1:13" ht="32.85" customHeight="1">
      <c r="A12" s="3" t="s">
        <v>47</v>
      </c>
      <c r="B12" s="3" t="s">
        <v>48</v>
      </c>
      <c r="C12" s="3" t="s">
        <v>151</v>
      </c>
      <c r="D12" s="3" t="s">
        <v>152</v>
      </c>
      <c r="E12" s="3" t="s">
        <v>50</v>
      </c>
      <c r="F12" s="3" t="s">
        <v>153</v>
      </c>
      <c r="G12" s="3" t="s">
        <v>154</v>
      </c>
      <c r="H12" s="3" t="s">
        <v>155</v>
      </c>
      <c r="I12" s="10" t="s">
        <v>121</v>
      </c>
      <c r="J12" s="10" t="s">
        <v>122</v>
      </c>
      <c r="K12" s="3" t="s">
        <v>123</v>
      </c>
      <c r="L12" s="3" t="s">
        <v>156</v>
      </c>
      <c r="M12" s="3" t="s">
        <v>125</v>
      </c>
    </row>
    <row r="13" spans="1:13" ht="32.85" customHeight="1">
      <c r="A13" s="3" t="s">
        <v>47</v>
      </c>
      <c r="B13" s="3" t="s">
        <v>48</v>
      </c>
      <c r="C13" s="3" t="s">
        <v>157</v>
      </c>
      <c r="D13" s="3" t="s">
        <v>127</v>
      </c>
      <c r="E13" s="3" t="s">
        <v>50</v>
      </c>
      <c r="F13" s="3" t="s">
        <v>158</v>
      </c>
      <c r="G13" s="3" t="s">
        <v>159</v>
      </c>
      <c r="H13" s="3" t="s">
        <v>160</v>
      </c>
      <c r="I13" s="10" t="s">
        <v>121</v>
      </c>
      <c r="J13" s="10" t="s">
        <v>122</v>
      </c>
      <c r="K13" s="3" t="s">
        <v>123</v>
      </c>
      <c r="L13" s="3" t="s">
        <v>161</v>
      </c>
      <c r="M13" s="3" t="s">
        <v>125</v>
      </c>
    </row>
    <row r="14" spans="1:13" ht="32.85" customHeight="1">
      <c r="A14" s="3" t="s">
        <v>47</v>
      </c>
      <c r="B14" s="3" t="s">
        <v>48</v>
      </c>
      <c r="C14" s="3" t="s">
        <v>162</v>
      </c>
      <c r="D14" s="3" t="s">
        <v>117</v>
      </c>
      <c r="E14" s="3" t="s">
        <v>50</v>
      </c>
      <c r="F14" s="3" t="s">
        <v>163</v>
      </c>
      <c r="G14" s="3" t="s">
        <v>154</v>
      </c>
      <c r="H14" s="3" t="s">
        <v>164</v>
      </c>
      <c r="I14" s="10" t="s">
        <v>121</v>
      </c>
      <c r="J14" s="10" t="s">
        <v>122</v>
      </c>
      <c r="K14" s="3" t="s">
        <v>123</v>
      </c>
      <c r="L14" s="3" t="s">
        <v>165</v>
      </c>
      <c r="M14" s="3" t="s">
        <v>125</v>
      </c>
    </row>
    <row r="15" spans="1:13" ht="32.85" customHeight="1">
      <c r="A15" s="3" t="s">
        <v>47</v>
      </c>
      <c r="B15" s="3" t="s">
        <v>48</v>
      </c>
      <c r="C15" s="3" t="s">
        <v>166</v>
      </c>
      <c r="D15" s="3" t="s">
        <v>167</v>
      </c>
      <c r="E15" s="3" t="s">
        <v>50</v>
      </c>
      <c r="F15" s="3" t="s">
        <v>168</v>
      </c>
      <c r="G15" s="3" t="s">
        <v>169</v>
      </c>
      <c r="H15" s="3" t="s">
        <v>170</v>
      </c>
      <c r="I15" s="10" t="s">
        <v>121</v>
      </c>
      <c r="J15" s="10" t="s">
        <v>122</v>
      </c>
      <c r="K15" s="3" t="s">
        <v>123</v>
      </c>
      <c r="L15" s="3" t="s">
        <v>171</v>
      </c>
      <c r="M15" s="3" t="s">
        <v>125</v>
      </c>
    </row>
    <row r="16" spans="1:13" ht="32.85" customHeight="1">
      <c r="A16" s="3" t="s">
        <v>47</v>
      </c>
      <c r="B16" s="3" t="s">
        <v>48</v>
      </c>
      <c r="C16" s="3" t="s">
        <v>172</v>
      </c>
      <c r="D16" s="3" t="s">
        <v>167</v>
      </c>
      <c r="E16" s="3" t="s">
        <v>50</v>
      </c>
      <c r="F16" s="3" t="s">
        <v>173</v>
      </c>
      <c r="G16" s="3" t="s">
        <v>129</v>
      </c>
      <c r="H16" s="3" t="s">
        <v>174</v>
      </c>
      <c r="I16" s="10" t="s">
        <v>121</v>
      </c>
      <c r="J16" s="10" t="s">
        <v>122</v>
      </c>
      <c r="K16" s="3" t="s">
        <v>123</v>
      </c>
      <c r="L16" s="3" t="s">
        <v>175</v>
      </c>
      <c r="M16" s="3" t="s">
        <v>125</v>
      </c>
    </row>
    <row r="17" spans="1:13" ht="32.85" customHeight="1">
      <c r="A17" s="3" t="s">
        <v>51</v>
      </c>
      <c r="B17" s="3" t="s">
        <v>52</v>
      </c>
      <c r="C17" s="3" t="s">
        <v>176</v>
      </c>
      <c r="D17" s="3" t="s">
        <v>117</v>
      </c>
      <c r="E17" s="3" t="s">
        <v>54</v>
      </c>
      <c r="F17" s="3" t="s">
        <v>177</v>
      </c>
      <c r="G17" s="3" t="s">
        <v>178</v>
      </c>
      <c r="H17" s="3" t="s">
        <v>179</v>
      </c>
      <c r="I17" s="10" t="s">
        <v>121</v>
      </c>
      <c r="J17" s="10" t="s">
        <v>122</v>
      </c>
      <c r="K17" s="3" t="s">
        <v>123</v>
      </c>
      <c r="L17" s="3" t="s">
        <v>180</v>
      </c>
      <c r="M17" s="3" t="s">
        <v>125</v>
      </c>
    </row>
    <row r="18" spans="1:13" ht="32.85" customHeight="1">
      <c r="A18" s="3" t="s">
        <v>51</v>
      </c>
      <c r="B18" s="3" t="s">
        <v>52</v>
      </c>
      <c r="C18" s="3" t="s">
        <v>181</v>
      </c>
      <c r="D18" s="3" t="s">
        <v>127</v>
      </c>
      <c r="E18" s="3" t="s">
        <v>54</v>
      </c>
      <c r="F18" s="3" t="s">
        <v>182</v>
      </c>
      <c r="G18" s="3" t="s">
        <v>129</v>
      </c>
      <c r="H18" s="3" t="s">
        <v>183</v>
      </c>
      <c r="I18" s="10" t="s">
        <v>121</v>
      </c>
      <c r="J18" s="10" t="s">
        <v>122</v>
      </c>
      <c r="K18" s="3" t="s">
        <v>123</v>
      </c>
      <c r="L18" s="3" t="s">
        <v>184</v>
      </c>
      <c r="M18" s="3" t="s">
        <v>125</v>
      </c>
    </row>
    <row r="19" spans="1:13" ht="32.85" customHeight="1">
      <c r="A19" s="3" t="s">
        <v>51</v>
      </c>
      <c r="B19" s="3" t="s">
        <v>52</v>
      </c>
      <c r="C19" s="3" t="s">
        <v>185</v>
      </c>
      <c r="D19" s="3" t="s">
        <v>127</v>
      </c>
      <c r="E19" s="3" t="s">
        <v>54</v>
      </c>
      <c r="F19" s="3" t="s">
        <v>133</v>
      </c>
      <c r="G19" s="3" t="s">
        <v>129</v>
      </c>
      <c r="H19" s="3" t="s">
        <v>134</v>
      </c>
      <c r="I19" s="10" t="s">
        <v>121</v>
      </c>
      <c r="J19" s="10" t="s">
        <v>122</v>
      </c>
      <c r="K19" s="3" t="s">
        <v>123</v>
      </c>
      <c r="L19" s="3" t="s">
        <v>186</v>
      </c>
      <c r="M19" s="3" t="s">
        <v>125</v>
      </c>
    </row>
    <row r="20" spans="1:13" ht="32.85" customHeight="1">
      <c r="A20" s="3" t="s">
        <v>51</v>
      </c>
      <c r="B20" s="3" t="s">
        <v>52</v>
      </c>
      <c r="C20" s="3" t="s">
        <v>187</v>
      </c>
      <c r="D20" s="3" t="s">
        <v>127</v>
      </c>
      <c r="E20" s="3" t="s">
        <v>54</v>
      </c>
      <c r="F20" s="3" t="s">
        <v>188</v>
      </c>
      <c r="G20" s="3" t="s">
        <v>129</v>
      </c>
      <c r="H20" s="3" t="s">
        <v>134</v>
      </c>
      <c r="I20" s="10" t="s">
        <v>121</v>
      </c>
      <c r="J20" s="10" t="s">
        <v>122</v>
      </c>
      <c r="K20" s="3" t="s">
        <v>123</v>
      </c>
      <c r="L20" s="3" t="s">
        <v>189</v>
      </c>
      <c r="M20" s="3" t="s">
        <v>125</v>
      </c>
    </row>
    <row r="21" spans="1:13" ht="32.85" customHeight="1">
      <c r="A21" s="3" t="s">
        <v>51</v>
      </c>
      <c r="B21" s="3" t="s">
        <v>52</v>
      </c>
      <c r="C21" s="3" t="s">
        <v>190</v>
      </c>
      <c r="D21" s="3" t="s">
        <v>127</v>
      </c>
      <c r="E21" s="3" t="s">
        <v>54</v>
      </c>
      <c r="F21" s="3" t="s">
        <v>140</v>
      </c>
      <c r="G21" s="3" t="s">
        <v>129</v>
      </c>
      <c r="H21" s="3" t="s">
        <v>141</v>
      </c>
      <c r="I21" s="10" t="s">
        <v>121</v>
      </c>
      <c r="J21" s="10" t="s">
        <v>122</v>
      </c>
      <c r="K21" s="3" t="s">
        <v>123</v>
      </c>
      <c r="L21" s="3" t="s">
        <v>191</v>
      </c>
      <c r="M21" s="3" t="s">
        <v>125</v>
      </c>
    </row>
    <row r="22" spans="1:13" ht="32.85" customHeight="1">
      <c r="A22" s="3" t="s">
        <v>51</v>
      </c>
      <c r="B22" s="3" t="s">
        <v>52</v>
      </c>
      <c r="C22" s="3" t="s">
        <v>192</v>
      </c>
      <c r="D22" s="3" t="s">
        <v>127</v>
      </c>
      <c r="E22" s="3" t="s">
        <v>54</v>
      </c>
      <c r="F22" s="3" t="s">
        <v>193</v>
      </c>
      <c r="G22" s="3" t="s">
        <v>129</v>
      </c>
      <c r="H22" s="3" t="s">
        <v>141</v>
      </c>
      <c r="I22" s="10" t="s">
        <v>121</v>
      </c>
      <c r="J22" s="10" t="s">
        <v>122</v>
      </c>
      <c r="K22" s="3" t="s">
        <v>123</v>
      </c>
      <c r="L22" s="3" t="s">
        <v>194</v>
      </c>
      <c r="M22" s="3" t="s">
        <v>125</v>
      </c>
    </row>
    <row r="23" spans="1:13" ht="32.85" customHeight="1">
      <c r="A23" s="3" t="s">
        <v>51</v>
      </c>
      <c r="B23" s="3" t="s">
        <v>52</v>
      </c>
      <c r="C23" s="3" t="s">
        <v>195</v>
      </c>
      <c r="D23" s="3" t="s">
        <v>127</v>
      </c>
      <c r="E23" s="3" t="s">
        <v>54</v>
      </c>
      <c r="F23" s="3" t="s">
        <v>196</v>
      </c>
      <c r="G23" s="3" t="s">
        <v>197</v>
      </c>
      <c r="H23" s="3" t="s">
        <v>198</v>
      </c>
      <c r="I23" s="10" t="s">
        <v>121</v>
      </c>
      <c r="J23" s="10" t="s">
        <v>122</v>
      </c>
      <c r="K23" s="3" t="s">
        <v>123</v>
      </c>
      <c r="L23" s="3" t="s">
        <v>199</v>
      </c>
      <c r="M23" s="3" t="s">
        <v>125</v>
      </c>
    </row>
    <row r="24" spans="1:13" ht="32.85" customHeight="1">
      <c r="A24" s="3" t="s">
        <v>51</v>
      </c>
      <c r="B24" s="3" t="s">
        <v>52</v>
      </c>
      <c r="C24" s="3" t="s">
        <v>200</v>
      </c>
      <c r="D24" s="3" t="s">
        <v>201</v>
      </c>
      <c r="E24" s="3" t="s">
        <v>54</v>
      </c>
      <c r="F24" s="3" t="s">
        <v>202</v>
      </c>
      <c r="G24" s="3" t="s">
        <v>203</v>
      </c>
      <c r="H24" s="3" t="s">
        <v>204</v>
      </c>
      <c r="I24" s="10" t="s">
        <v>121</v>
      </c>
      <c r="J24" s="10" t="s">
        <v>122</v>
      </c>
      <c r="K24" s="3" t="s">
        <v>123</v>
      </c>
      <c r="L24" s="3" t="s">
        <v>205</v>
      </c>
      <c r="M24" s="3" t="s">
        <v>125</v>
      </c>
    </row>
    <row r="25" spans="1:13" ht="32.85" customHeight="1">
      <c r="A25" s="3" t="s">
        <v>51</v>
      </c>
      <c r="B25" s="3" t="s">
        <v>52</v>
      </c>
      <c r="C25" s="3" t="s">
        <v>206</v>
      </c>
      <c r="D25" s="3" t="s">
        <v>127</v>
      </c>
      <c r="E25" s="3" t="s">
        <v>54</v>
      </c>
      <c r="F25" s="3" t="s">
        <v>207</v>
      </c>
      <c r="G25" s="3" t="s">
        <v>208</v>
      </c>
      <c r="H25" s="3" t="s">
        <v>198</v>
      </c>
      <c r="I25" s="10" t="s">
        <v>121</v>
      </c>
      <c r="J25" s="10" t="s">
        <v>122</v>
      </c>
      <c r="K25" s="3" t="s">
        <v>123</v>
      </c>
      <c r="L25" s="3" t="s">
        <v>209</v>
      </c>
      <c r="M25" s="3" t="s">
        <v>125</v>
      </c>
    </row>
    <row r="26" spans="1:13" ht="32.85" customHeight="1">
      <c r="A26" s="3" t="s">
        <v>51</v>
      </c>
      <c r="B26" s="3" t="s">
        <v>52</v>
      </c>
      <c r="C26" s="3" t="s">
        <v>210</v>
      </c>
      <c r="D26" s="3" t="s">
        <v>117</v>
      </c>
      <c r="E26" s="3" t="s">
        <v>54</v>
      </c>
      <c r="F26" s="3" t="s">
        <v>163</v>
      </c>
      <c r="G26" s="3" t="s">
        <v>211</v>
      </c>
      <c r="H26" s="3" t="s">
        <v>212</v>
      </c>
      <c r="I26" s="10" t="s">
        <v>121</v>
      </c>
      <c r="J26" s="10" t="s">
        <v>122</v>
      </c>
      <c r="K26" s="3" t="s">
        <v>123</v>
      </c>
      <c r="L26" s="3" t="s">
        <v>213</v>
      </c>
      <c r="M26" s="3" t="s">
        <v>125</v>
      </c>
    </row>
    <row r="27" spans="1:13" ht="32.85" customHeight="1">
      <c r="A27" s="3" t="s">
        <v>51</v>
      </c>
      <c r="B27" s="3" t="s">
        <v>52</v>
      </c>
      <c r="C27" s="3" t="s">
        <v>214</v>
      </c>
      <c r="D27" s="3" t="s">
        <v>167</v>
      </c>
      <c r="E27" s="3" t="s">
        <v>54</v>
      </c>
      <c r="F27" s="3" t="s">
        <v>215</v>
      </c>
      <c r="G27" s="3" t="s">
        <v>216</v>
      </c>
      <c r="H27" s="3" t="s">
        <v>217</v>
      </c>
      <c r="I27" s="10" t="s">
        <v>121</v>
      </c>
      <c r="J27" s="10" t="s">
        <v>122</v>
      </c>
      <c r="K27" s="3" t="s">
        <v>123</v>
      </c>
      <c r="L27" s="3" t="s">
        <v>218</v>
      </c>
      <c r="M27" s="3" t="s">
        <v>125</v>
      </c>
    </row>
  </sheetData>
  <mergeCells count="1">
    <mergeCell ref="A1:M2"/>
  </mergeCells>
  <conditionalFormatting sqref="J5:J250">
    <cfRule type="expression" dxfId="3" priority="1">
      <formula>J5="Pass"</formula>
    </cfRule>
    <cfRule type="expression" dxfId="2" priority="2">
      <formula>J5="Fail"</formula>
    </cfRule>
    <cfRule type="expression" dxfId="1" priority="3">
      <formula>J5="Block"</formula>
    </cfRule>
    <cfRule type="expression" dxfId="0" priority="4">
      <formula>J5="No run"</formula>
    </cfRule>
  </conditionalFormatting>
  <dataValidations count="1">
    <dataValidation type="list" sqref="J5:J250" xr:uid="{00000000-0002-0000-0500-000000000000}">
      <formula1>"No run,Pass,Fail,Block"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7"/>
  <sheetViews>
    <sheetView workbookViewId="0">
      <selection sqref="A1:F2"/>
    </sheetView>
  </sheetViews>
  <sheetFormatPr defaultRowHeight="13.8"/>
  <cols>
    <col min="1" max="1" width="22" customWidth="1"/>
    <col min="2" max="2" width="64" customWidth="1"/>
    <col min="3" max="3" width="17" customWidth="1"/>
    <col min="4" max="4" width="56" customWidth="1"/>
    <col min="5" max="5" width="61" customWidth="1"/>
    <col min="6" max="6" width="15" customWidth="1"/>
  </cols>
  <sheetData>
    <row r="1" spans="1:13" ht="26.4" customHeight="1">
      <c r="A1" s="25" t="s">
        <v>219</v>
      </c>
      <c r="B1" s="25"/>
      <c r="C1" s="25"/>
      <c r="D1" s="25"/>
      <c r="E1" s="25"/>
      <c r="F1" s="25"/>
      <c r="G1" s="5"/>
      <c r="H1" s="5"/>
      <c r="I1" s="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</row>
    <row r="4" spans="1:13" ht="27.15" customHeight="1">
      <c r="A4" s="6" t="s">
        <v>220</v>
      </c>
      <c r="B4" s="6" t="s">
        <v>221</v>
      </c>
      <c r="C4" s="6" t="s">
        <v>39</v>
      </c>
      <c r="D4" s="6" t="s">
        <v>109</v>
      </c>
      <c r="E4" s="6" t="s">
        <v>222</v>
      </c>
      <c r="F4" s="6" t="s">
        <v>63</v>
      </c>
    </row>
    <row r="5" spans="1:13" ht="27.15" customHeight="1">
      <c r="A5" s="3" t="s">
        <v>223</v>
      </c>
      <c r="B5" s="3" t="s">
        <v>224</v>
      </c>
      <c r="C5" s="3" t="s">
        <v>48</v>
      </c>
      <c r="D5" s="3" t="s">
        <v>225</v>
      </c>
      <c r="E5" s="3" t="s">
        <v>226</v>
      </c>
      <c r="F5" s="3" t="s">
        <v>227</v>
      </c>
    </row>
    <row r="6" spans="1:13" ht="27.15" customHeight="1">
      <c r="A6" s="3" t="s">
        <v>228</v>
      </c>
      <c r="B6" s="3" t="s">
        <v>229</v>
      </c>
      <c r="C6" s="3" t="s">
        <v>48</v>
      </c>
      <c r="D6" s="3" t="s">
        <v>230</v>
      </c>
      <c r="E6" s="3" t="s">
        <v>226</v>
      </c>
      <c r="F6" s="3" t="s">
        <v>227</v>
      </c>
    </row>
    <row r="7" spans="1:13" ht="27.15" customHeight="1">
      <c r="A7" s="3" t="s">
        <v>231</v>
      </c>
      <c r="B7" s="3" t="s">
        <v>232</v>
      </c>
      <c r="C7" s="3" t="s">
        <v>48</v>
      </c>
      <c r="D7" s="3" t="s">
        <v>157</v>
      </c>
      <c r="E7" s="3" t="s">
        <v>233</v>
      </c>
      <c r="F7" s="3" t="s">
        <v>227</v>
      </c>
    </row>
    <row r="8" spans="1:13" ht="27.15" customHeight="1">
      <c r="A8" s="3" t="s">
        <v>234</v>
      </c>
      <c r="B8" s="3" t="s">
        <v>235</v>
      </c>
      <c r="C8" s="3" t="s">
        <v>48</v>
      </c>
      <c r="D8" s="3" t="s">
        <v>236</v>
      </c>
      <c r="E8" s="3" t="s">
        <v>50</v>
      </c>
      <c r="F8" s="3" t="s">
        <v>227</v>
      </c>
    </row>
    <row r="9" spans="1:13" ht="27.15" customHeight="1">
      <c r="A9" s="3" t="s">
        <v>237</v>
      </c>
      <c r="B9" s="3" t="s">
        <v>238</v>
      </c>
      <c r="C9" s="3" t="s">
        <v>48</v>
      </c>
      <c r="D9" s="3" t="s">
        <v>239</v>
      </c>
      <c r="E9" s="3" t="s">
        <v>50</v>
      </c>
      <c r="F9" s="3" t="s">
        <v>227</v>
      </c>
    </row>
    <row r="10" spans="1:13" ht="27.15" customHeight="1">
      <c r="A10" s="3" t="s">
        <v>240</v>
      </c>
      <c r="B10" s="3" t="s">
        <v>241</v>
      </c>
      <c r="C10" s="3" t="s">
        <v>52</v>
      </c>
      <c r="D10" s="3" t="s">
        <v>242</v>
      </c>
      <c r="E10" s="3" t="s">
        <v>243</v>
      </c>
      <c r="F10" s="3" t="s">
        <v>227</v>
      </c>
    </row>
    <row r="11" spans="1:13" ht="27.15" customHeight="1">
      <c r="A11" s="3" t="s">
        <v>244</v>
      </c>
      <c r="B11" s="3" t="s">
        <v>245</v>
      </c>
      <c r="C11" s="3" t="s">
        <v>52</v>
      </c>
      <c r="D11" s="3" t="s">
        <v>246</v>
      </c>
      <c r="E11" s="3" t="s">
        <v>54</v>
      </c>
      <c r="F11" s="3" t="s">
        <v>227</v>
      </c>
    </row>
    <row r="12" spans="1:13" ht="27.15" customHeight="1">
      <c r="A12" s="3" t="s">
        <v>247</v>
      </c>
      <c r="B12" s="3" t="s">
        <v>248</v>
      </c>
      <c r="C12" s="3" t="s">
        <v>52</v>
      </c>
      <c r="D12" s="3" t="s">
        <v>249</v>
      </c>
      <c r="E12" s="3" t="s">
        <v>54</v>
      </c>
      <c r="F12" s="3" t="s">
        <v>227</v>
      </c>
    </row>
    <row r="13" spans="1:13" ht="27.15" customHeight="1">
      <c r="A13" s="3" t="s">
        <v>250</v>
      </c>
      <c r="B13" s="3" t="s">
        <v>251</v>
      </c>
      <c r="C13" s="3" t="s">
        <v>52</v>
      </c>
      <c r="D13" s="3" t="s">
        <v>252</v>
      </c>
      <c r="E13" s="3" t="s">
        <v>54</v>
      </c>
      <c r="F13" s="3" t="s">
        <v>227</v>
      </c>
    </row>
    <row r="16" spans="1:13" ht="24" customHeight="1">
      <c r="A16" s="1" t="s">
        <v>253</v>
      </c>
      <c r="B16" s="1" t="s">
        <v>2</v>
      </c>
    </row>
    <row r="17" spans="1:2" ht="34.35" customHeight="1">
      <c r="A17" s="2" t="s">
        <v>46</v>
      </c>
      <c r="B17" s="2" t="s">
        <v>254</v>
      </c>
    </row>
  </sheetData>
  <mergeCells count="1">
    <mergeCell ref="A1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5"/>
  <sheetViews>
    <sheetView tabSelected="1" workbookViewId="0">
      <selection activeCell="F6" sqref="F6"/>
    </sheetView>
  </sheetViews>
  <sheetFormatPr defaultRowHeight="13.8"/>
  <cols>
    <col min="1" max="1" width="35" customWidth="1"/>
    <col min="2" max="2" width="20" customWidth="1"/>
    <col min="3" max="6" width="15" customWidth="1"/>
  </cols>
  <sheetData>
    <row r="1" spans="1:13" ht="27.15" customHeight="1">
      <c r="A1" s="28" t="s">
        <v>255</v>
      </c>
      <c r="B1" s="29"/>
      <c r="C1" s="29"/>
      <c r="D1" s="29"/>
      <c r="E1" s="29"/>
      <c r="F1" s="29"/>
      <c r="G1" s="5"/>
      <c r="H1" s="5"/>
      <c r="I1" s="5"/>
      <c r="J1" s="5"/>
      <c r="K1" s="5"/>
      <c r="L1" s="5"/>
      <c r="M1" s="5"/>
    </row>
    <row r="2" spans="1:13" ht="19.95" customHeight="1">
      <c r="A2" s="21" t="s">
        <v>256</v>
      </c>
      <c r="B2" s="22"/>
      <c r="C2" s="22"/>
      <c r="D2" s="22"/>
      <c r="E2" s="22"/>
      <c r="F2" s="22"/>
    </row>
    <row r="4" spans="1:13" ht="20.85" customHeight="1">
      <c r="A4" s="11" t="s">
        <v>257</v>
      </c>
      <c r="B4" s="11" t="s">
        <v>258</v>
      </c>
    </row>
    <row r="5" spans="1:13" ht="22.35" customHeight="1">
      <c r="A5" s="3" t="s">
        <v>259</v>
      </c>
      <c r="B5" s="14">
        <f>COUNTA('Test Case Design &amp; Test Results'!$C$5:$C$250)</f>
        <v>23</v>
      </c>
    </row>
    <row r="6" spans="1:13" ht="22.35" customHeight="1">
      <c r="A6" s="3" t="s">
        <v>260</v>
      </c>
      <c r="B6" s="14">
        <f>COUNTIF('Test Case Design &amp; Test Results'!$J$5:$J$250,"Pass")+COUNTIF('Test Case Design &amp; Test Results'!$J$5:$J$250,"Fail")+COUNTIF('Test Case Design &amp; Test Results'!$J$5:$J$250,"Block")</f>
        <v>23</v>
      </c>
    </row>
    <row r="7" spans="1:13" ht="22.35" customHeight="1">
      <c r="A7" s="3" t="s">
        <v>42</v>
      </c>
      <c r="B7" s="14">
        <f>COUNTIF('Test Case Design &amp; Test Results'!$J$5:$J$250,"Pass")</f>
        <v>23</v>
      </c>
    </row>
    <row r="8" spans="1:13" ht="22.35" customHeight="1">
      <c r="A8" s="3" t="s">
        <v>43</v>
      </c>
      <c r="B8" s="14">
        <f>COUNTIF('Test Case Design &amp; Test Results'!$J$5:$J$250,"Fail")</f>
        <v>0</v>
      </c>
    </row>
    <row r="9" spans="1:13" ht="22.35" customHeight="1">
      <c r="A9" s="3" t="s">
        <v>261</v>
      </c>
      <c r="B9" s="14">
        <f>COUNTIF('Test Case Design &amp; Test Results'!$J$5:$J$250,"Block")</f>
        <v>0</v>
      </c>
    </row>
    <row r="10" spans="1:13" ht="22.35" customHeight="1">
      <c r="A10" s="3" t="s">
        <v>44</v>
      </c>
      <c r="B10" s="14">
        <f>COUNTIF('Test Case Design &amp; Test Results'!$J$5:$J$250,"No run")</f>
        <v>0</v>
      </c>
    </row>
    <row r="11" spans="1:13" ht="22.35" customHeight="1">
      <c r="A11" s="3"/>
      <c r="B11" s="3"/>
    </row>
    <row r="12" spans="1:13" ht="22.35" customHeight="1">
      <c r="A12" s="30" t="s">
        <v>262</v>
      </c>
      <c r="B12" s="31"/>
      <c r="C12" s="32"/>
      <c r="D12" s="32"/>
      <c r="E12" s="32"/>
      <c r="F12" s="32"/>
    </row>
    <row r="13" spans="1:13" ht="21.6" customHeight="1">
      <c r="A13" s="11" t="s">
        <v>263</v>
      </c>
      <c r="B13" s="11" t="s">
        <v>264</v>
      </c>
      <c r="C13" s="12" t="s">
        <v>42</v>
      </c>
      <c r="D13" s="12" t="s">
        <v>43</v>
      </c>
      <c r="E13" s="12" t="s">
        <v>265</v>
      </c>
      <c r="F13" s="12" t="s">
        <v>266</v>
      </c>
    </row>
    <row r="14" spans="1:13" ht="18.45" customHeight="1">
      <c r="A14" s="3" t="s">
        <v>267</v>
      </c>
      <c r="B14" s="14">
        <v>1</v>
      </c>
      <c r="C14" s="15">
        <v>1</v>
      </c>
      <c r="D14" s="15">
        <v>0</v>
      </c>
      <c r="E14" s="15">
        <v>0</v>
      </c>
      <c r="F14" s="15">
        <v>0</v>
      </c>
    </row>
    <row r="15" spans="1:13" ht="18.45" customHeight="1">
      <c r="A15" s="3" t="s">
        <v>268</v>
      </c>
      <c r="B15" s="14">
        <v>12</v>
      </c>
      <c r="C15" s="15">
        <v>12</v>
      </c>
      <c r="D15" s="15">
        <v>0</v>
      </c>
      <c r="E15" s="15">
        <v>0</v>
      </c>
      <c r="F15" s="15">
        <v>0</v>
      </c>
    </row>
    <row r="16" spans="1:13" ht="18.45" customHeight="1">
      <c r="A16" s="3" t="s">
        <v>269</v>
      </c>
      <c r="B16" s="14">
        <v>11</v>
      </c>
      <c r="C16" s="15">
        <v>11</v>
      </c>
      <c r="D16" s="15">
        <v>0</v>
      </c>
      <c r="E16" s="15">
        <v>0</v>
      </c>
      <c r="F16" s="15">
        <v>0</v>
      </c>
    </row>
    <row r="17" spans="1:6" ht="18.45" customHeight="1">
      <c r="A17" s="13" t="s">
        <v>270</v>
      </c>
      <c r="B17" s="13">
        <f>SUM(B14:B16)</f>
        <v>24</v>
      </c>
      <c r="C17" s="16">
        <f>SUM(C14:C16)</f>
        <v>24</v>
      </c>
      <c r="D17" s="16">
        <f>SUM(D14:D16)</f>
        <v>0</v>
      </c>
      <c r="E17" s="16">
        <f>SUM(E14:E16)</f>
        <v>0</v>
      </c>
      <c r="F17" s="16">
        <f>SUM(F14:F16)</f>
        <v>0</v>
      </c>
    </row>
    <row r="18" spans="1:6" ht="18.45" customHeight="1">
      <c r="A18" s="3"/>
      <c r="B18" s="3"/>
    </row>
    <row r="19" spans="1:6" ht="20.85" customHeight="1">
      <c r="A19" s="3" t="s">
        <v>271</v>
      </c>
      <c r="B19" s="31" t="s">
        <v>272</v>
      </c>
      <c r="C19" s="32"/>
      <c r="D19" s="32"/>
      <c r="E19" s="32"/>
      <c r="F19" s="32"/>
    </row>
    <row r="20" spans="1:6" ht="19.95" customHeight="1">
      <c r="A20" s="3" t="s">
        <v>273</v>
      </c>
      <c r="B20" s="31" t="s">
        <v>293</v>
      </c>
      <c r="C20" s="32"/>
      <c r="D20" s="32"/>
      <c r="E20" s="32"/>
      <c r="F20" s="32"/>
    </row>
    <row r="21" spans="1:6" ht="19.95" customHeight="1">
      <c r="A21" s="3" t="s">
        <v>274</v>
      </c>
      <c r="B21" s="31" t="s">
        <v>275</v>
      </c>
      <c r="C21" s="32"/>
      <c r="D21" s="32"/>
      <c r="E21" s="32"/>
      <c r="F21" s="32"/>
    </row>
    <row r="22" spans="1:6" ht="19.95" customHeight="1">
      <c r="A22" s="3"/>
      <c r="B22" s="3"/>
    </row>
    <row r="23" spans="1:6" ht="19.95" customHeight="1">
      <c r="A23" s="23" t="s">
        <v>276</v>
      </c>
      <c r="B23" s="33" t="s">
        <v>277</v>
      </c>
      <c r="C23" s="34"/>
      <c r="D23" s="34"/>
      <c r="E23" s="34"/>
      <c r="F23" s="34"/>
    </row>
    <row r="24" spans="1:6" ht="24" customHeight="1">
      <c r="A24" s="24" t="s">
        <v>278</v>
      </c>
      <c r="B24" s="35" t="s">
        <v>292</v>
      </c>
      <c r="C24" s="34"/>
      <c r="D24" s="34"/>
      <c r="E24" s="34"/>
      <c r="F24" s="34"/>
    </row>
    <row r="25" spans="1:6" ht="24" customHeight="1"/>
  </sheetData>
  <mergeCells count="7">
    <mergeCell ref="B23:F23"/>
    <mergeCell ref="B24:F24"/>
    <mergeCell ref="A1:F1"/>
    <mergeCell ref="A12:F12"/>
    <mergeCell ref="B19:F19"/>
    <mergeCell ref="B20:F20"/>
    <mergeCell ref="B21:F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"/>
  <sheetViews>
    <sheetView workbookViewId="0">
      <selection activeCell="C16" sqref="C16"/>
    </sheetView>
  </sheetViews>
  <sheetFormatPr defaultRowHeight="13.8"/>
  <cols>
    <col min="1" max="1" width="19" customWidth="1"/>
    <col min="2" max="2" width="43" customWidth="1"/>
    <col min="3" max="3" width="44" customWidth="1"/>
    <col min="4" max="5" width="12" customWidth="1"/>
    <col min="6" max="6" width="14" customWidth="1"/>
    <col min="7" max="7" width="24" customWidth="1"/>
    <col min="8" max="8" width="20" customWidth="1"/>
  </cols>
  <sheetData>
    <row r="1" spans="1:13" ht="25.65" customHeight="1">
      <c r="A1" s="28" t="s">
        <v>279</v>
      </c>
      <c r="B1" s="29"/>
      <c r="C1" s="29"/>
      <c r="D1" s="29"/>
      <c r="E1" s="29"/>
      <c r="F1" s="29"/>
      <c r="G1" s="29"/>
      <c r="H1" s="29"/>
      <c r="I1" s="5"/>
      <c r="J1" s="5"/>
      <c r="K1" s="5"/>
      <c r="L1" s="5"/>
      <c r="M1" s="5"/>
    </row>
    <row r="2" spans="1:13" ht="28.8" customHeight="1">
      <c r="A2" s="26"/>
      <c r="B2" s="26"/>
      <c r="C2" s="26"/>
      <c r="D2" s="26"/>
      <c r="E2" s="26"/>
      <c r="F2" s="26"/>
      <c r="G2" s="26"/>
      <c r="H2" s="26"/>
    </row>
    <row r="4" spans="1:13" ht="22.35" customHeight="1">
      <c r="A4" s="11" t="s">
        <v>280</v>
      </c>
      <c r="B4" s="11" t="s">
        <v>281</v>
      </c>
      <c r="C4" s="11" t="s">
        <v>263</v>
      </c>
      <c r="D4" s="11" t="s">
        <v>258</v>
      </c>
      <c r="E4" s="11" t="s">
        <v>42</v>
      </c>
      <c r="F4" s="11" t="s">
        <v>43</v>
      </c>
      <c r="G4" s="11" t="s">
        <v>282</v>
      </c>
      <c r="H4" s="11" t="s">
        <v>271</v>
      </c>
    </row>
    <row r="5" spans="1:13" ht="23.25" customHeight="1">
      <c r="A5" s="3" t="s">
        <v>283</v>
      </c>
      <c r="B5" s="3" t="s">
        <v>284</v>
      </c>
      <c r="C5" s="3" t="s">
        <v>285</v>
      </c>
      <c r="D5" s="3">
        <v>1</v>
      </c>
      <c r="E5" s="3">
        <v>1</v>
      </c>
      <c r="F5" s="3">
        <v>0</v>
      </c>
      <c r="G5" s="3" t="s">
        <v>286</v>
      </c>
      <c r="H5" s="3" t="s">
        <v>272</v>
      </c>
    </row>
    <row r="6" spans="1:13" ht="23.25" customHeight="1">
      <c r="A6" s="2" t="s">
        <v>287</v>
      </c>
      <c r="B6" s="36">
        <v>244622.625</v>
      </c>
      <c r="C6" s="2" t="s">
        <v>294</v>
      </c>
      <c r="D6" s="2">
        <v>24</v>
      </c>
      <c r="E6" s="2">
        <v>24</v>
      </c>
      <c r="F6" s="2">
        <v>0</v>
      </c>
      <c r="G6" s="2" t="s">
        <v>286</v>
      </c>
      <c r="H6" s="2" t="s">
        <v>272</v>
      </c>
    </row>
    <row r="7" spans="1:13">
      <c r="A7" s="2"/>
      <c r="B7" s="2"/>
      <c r="C7" s="2"/>
      <c r="D7" s="2"/>
      <c r="E7" s="2"/>
      <c r="F7" s="2"/>
      <c r="G7" s="2"/>
      <c r="H7" s="2"/>
    </row>
    <row r="8" spans="1:13" ht="21.6" customHeight="1">
      <c r="A8" s="17" t="s">
        <v>274</v>
      </c>
      <c r="B8" s="18" t="s">
        <v>275</v>
      </c>
      <c r="C8" s="2"/>
      <c r="D8" s="2"/>
      <c r="E8" s="2"/>
      <c r="F8" s="2"/>
      <c r="G8" s="2"/>
      <c r="H8" s="2"/>
    </row>
    <row r="9" spans="1:13" ht="35.25" customHeight="1">
      <c r="A9" s="20" t="s">
        <v>288</v>
      </c>
      <c r="B9" s="19" t="s">
        <v>289</v>
      </c>
      <c r="C9" s="2"/>
      <c r="D9" s="2"/>
      <c r="E9" s="2"/>
      <c r="F9" s="2"/>
      <c r="G9" s="2"/>
      <c r="H9" s="2"/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9</vt:i4>
      </vt:variant>
    </vt:vector>
  </HeadingPairs>
  <TitlesOfParts>
    <vt:vector size="9" baseType="lpstr">
      <vt:lpstr>Guide</vt:lpstr>
      <vt:lpstr>Test Scenario Summary</vt:lpstr>
      <vt:lpstr>Defect Summary</vt:lpstr>
      <vt:lpstr>TS001</vt:lpstr>
      <vt:lpstr>TS002</vt:lpstr>
      <vt:lpstr>Test Case Design &amp; Test Results</vt:lpstr>
      <vt:lpstr>Requirements Traceability</vt:lpstr>
      <vt:lpstr>Test Summary Report</vt:lpstr>
      <vt:lpstr>Execution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leewind oncc</dc:creator>
  <cp:lastModifiedBy>Jiratchaya Paochanthuek</cp:lastModifiedBy>
  <dcterms:created xsi:type="dcterms:W3CDTF">2026-09-30T08:14:41Z</dcterms:created>
  <dcterms:modified xsi:type="dcterms:W3CDTF">2026-09-30T08:14:41Z</dcterms:modified>
</cp:coreProperties>
</file>