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83d6b8e4ac49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7243b80e31a84036"/>
    <x:sheet xmlns:r="http://schemas.openxmlformats.org/officeDocument/2006/relationships" name="Requirements" sheetId="2" r:id="R52aac16da1464c59"/>
    <x:sheet xmlns:r="http://schemas.openxmlformats.org/officeDocument/2006/relationships" name="Test Case Design &amp; Test Results" sheetId="3" r:id="R65b22af242014631"/>
    <x:sheet xmlns:r="http://schemas.openxmlformats.org/officeDocument/2006/relationships" name="TS001" sheetId="4" r:id="Rc95338479c994bc0"/>
    <x:sheet xmlns:r="http://schemas.openxmlformats.org/officeDocument/2006/relationships" name="TS002" sheetId="5" r:id="Ra6380f9cc3dd409e"/>
    <x:sheet xmlns:r="http://schemas.openxmlformats.org/officeDocument/2006/relationships" name="TS003" sheetId="6" r:id="Rf85a2abb220b4313"/>
    <x:sheet xmlns:r="http://schemas.openxmlformats.org/officeDocument/2006/relationships" name="TS004" sheetId="7" r:id="R95efdda6f084450a"/>
    <x:sheet xmlns:r="http://schemas.openxmlformats.org/officeDocument/2006/relationships" name="TS005" sheetId="8" r:id="R6141c0d1f4cf4903"/>
    <x:sheet xmlns:r="http://schemas.openxmlformats.org/officeDocument/2006/relationships" name="TS006" sheetId="9" r:id="Re81420da6a45480a"/>
    <x:sheet xmlns:r="http://schemas.openxmlformats.org/officeDocument/2006/relationships" name="Defect Summary" sheetId="10" r:id="Rcd240c31e64c49b7"/>
    <x:sheet xmlns:r="http://schemas.openxmlformats.org/officeDocument/2006/relationships" name="Test Summary Report" sheetId="11" r:id="R14aeb3fee81c4d2e"/>
    <x:sheet xmlns:r="http://schemas.openxmlformats.org/officeDocument/2006/relationships" name="Execution Log" sheetId="12" r:id="Re6d1aacf04e24ed7"/>
    <x:sheet xmlns:r="http://schemas.openxmlformats.org/officeDocument/2006/relationships" name="Decision Table" sheetId="13" r:id="Rd098b0c8971e4f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060cecf0db423c" /><Relationship Type="http://schemas.openxmlformats.org/officeDocument/2006/relationships/theme" Target="/xl/theme/theme1.xml" Id="R41ea0fdd94bd4c77" /><Relationship Type="http://schemas.openxmlformats.org/officeDocument/2006/relationships/sharedStrings" Target="/xl/sharedStrings.xml" Id="R39ff9b00aca54f25" /><Relationship Type="http://schemas.openxmlformats.org/officeDocument/2006/relationships/worksheet" Target="/xl/worksheets/sheet1.xml" Id="R7243b80e31a84036" /><Relationship Type="http://schemas.openxmlformats.org/officeDocument/2006/relationships/worksheet" Target="/xl/worksheets/sheet2.xml" Id="R52aac16da1464c59" /><Relationship Type="http://schemas.openxmlformats.org/officeDocument/2006/relationships/worksheet" Target="/xl/worksheets/sheet3.xml" Id="R65b22af242014631" /><Relationship Type="http://schemas.openxmlformats.org/officeDocument/2006/relationships/worksheet" Target="/xl/worksheets/sheet4.xml" Id="Rc95338479c994bc0" /><Relationship Type="http://schemas.openxmlformats.org/officeDocument/2006/relationships/worksheet" Target="/xl/worksheets/sheet5.xml" Id="Ra6380f9cc3dd409e" /><Relationship Type="http://schemas.openxmlformats.org/officeDocument/2006/relationships/worksheet" Target="/xl/worksheets/sheet6.xml" Id="Rf85a2abb220b4313" /><Relationship Type="http://schemas.openxmlformats.org/officeDocument/2006/relationships/worksheet" Target="/xl/worksheets/sheet7.xml" Id="R95efdda6f084450a" /><Relationship Type="http://schemas.openxmlformats.org/officeDocument/2006/relationships/worksheet" Target="/xl/worksheets/sheet8.xml" Id="R6141c0d1f4cf4903" /><Relationship Type="http://schemas.openxmlformats.org/officeDocument/2006/relationships/worksheet" Target="/xl/worksheets/sheet9.xml" Id="Re81420da6a45480a" /><Relationship Type="http://schemas.openxmlformats.org/officeDocument/2006/relationships/worksheet" Target="/xl/worksheets/sheet10.xml" Id="Rcd240c31e64c49b7" /><Relationship Type="http://schemas.openxmlformats.org/officeDocument/2006/relationships/worksheet" Target="/xl/worksheets/sheet11.xml" Id="R14aeb3fee81c4d2e" /><Relationship Type="http://schemas.openxmlformats.org/officeDocument/2006/relationships/worksheet" Target="/xl/worksheets/sheet12.xml" Id="Re6d1aacf04e24ed7" /><Relationship Type="http://schemas.openxmlformats.org/officeDocument/2006/relationships/worksheet" Target="/xl/worksheets/sheet13.xml" Id="Rd098b0c8971e4f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f>COUNTIF('Test Case Design &amp; Test Results'!$B$4:$B$80,B4)</x:f>
        <x:v>13</x:v>
      </x:c>
      <x:c r="E4" s="252" t="n">
        <x:f>COUNTIFS('Test Case Design &amp; Test Results'!$B$4:$B$80,B4,'Test Case Design &amp; Test Results'!$J$4:$J$80,"Pass")</x:f>
        <x:v>13</x:v>
      </x:c>
      <x:c r="F4" s="252" t="n">
        <x:f>COUNTIFS('Test Case Design &amp; Test Results'!$B$4:$B$80,B4,'Test Case Design &amp; Test Results'!$J$4:$J$80,"Fail")</x:f>
        <x:v>0</x:v>
      </x:c>
      <x:c r="G4" s="252" t="n">
        <x:f>COUNTIFS('Test Case Design &amp; Test Results'!$B$4:$B$80,B4,'Test Case Design &amp; Test Results'!$J$4:$J$80,"Not Run")+COUNTIFS('Test Case Design &amp; Test Results'!$B$4:$B$80,B4,'Test Case Design &amp; Test Results'!$J$4:$J$80,"Waiting Frontend")</x:f>
        <x:v>0</x:v>
      </x:c>
      <x:c r="H4" s="253" t="n">
        <x:f>COUNTIFS('Test Case Design &amp; Test Results'!$B$4:$B$80,B4,'Test Case Design &amp; Test Results'!$J$4:$J$80,"Blocked")</x:f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f>COUNTIF('Test Case Design &amp; Test Results'!$B$4:$B$80,B5)</x:f>
        <x:v>11</x:v>
      </x:c>
      <x:c r="E5" s="259" t="n">
        <x:f>COUNTIFS('Test Case Design &amp; Test Results'!$B$4:$B$80,B5,'Test Case Design &amp; Test Results'!$J$4:$J$80,"Pass")</x:f>
        <x:v>11</x:v>
      </x:c>
      <x:c r="F5" s="259" t="n">
        <x:f>COUNTIFS('Test Case Design &amp; Test Results'!$B$4:$B$80,B5,'Test Case Design &amp; Test Results'!$J$4:$J$80,"Fail")</x:f>
        <x:v>0</x:v>
      </x:c>
      <x:c r="G5" s="259" t="n">
        <x:f>COUNTIFS('Test Case Design &amp; Test Results'!$B$4:$B$80,B5,'Test Case Design &amp; Test Results'!$J$4:$J$80,"Not Run")+COUNTIFS('Test Case Design &amp; Test Results'!$B$4:$B$80,B5,'Test Case Design &amp; Test Results'!$J$4:$J$80,"Waiting Frontend")</x:f>
        <x:v>0</x:v>
      </x:c>
      <x:c r="H5" s="260" t="n">
        <x:f>COUNTIFS('Test Case Design &amp; Test Results'!$B$4:$B$80,B5,'Test Case Design &amp; Test Results'!$J$4:$J$80,"Blocked")</x:f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f>COUNTIF('Test Case Design &amp; Test Results'!$B$4:$B$80,B6)</x:f>
        <x:v>8</x:v>
      </x:c>
      <x:c r="E6" s="259" t="n">
        <x:f>COUNTIFS('Test Case Design &amp; Test Results'!$B$4:$B$80,B6,'Test Case Design &amp; Test Results'!$J$4:$J$80,"Pass")</x:f>
        <x:v>8</x:v>
      </x:c>
      <x:c r="F6" s="259" t="n">
        <x:f>COUNTIFS('Test Case Design &amp; Test Results'!$B$4:$B$80,B6,'Test Case Design &amp; Test Results'!$J$4:$J$80,"Fail")</x:f>
        <x:v>0</x:v>
      </x:c>
      <x:c r="G6" s="259" t="n">
        <x:f>COUNTIFS('Test Case Design &amp; Test Results'!$B$4:$B$80,B6,'Test Case Design &amp; Test Results'!$J$4:$J$80,"Not Run")+COUNTIFS('Test Case Design &amp; Test Results'!$B$4:$B$80,B6,'Test Case Design &amp; Test Results'!$J$4:$J$80,"Waiting Frontend")</x:f>
        <x:v>0</x:v>
      </x:c>
      <x:c r="H6" s="260" t="n">
        <x:f>COUNTIFS('Test Case Design &amp; Test Results'!$B$4:$B$80,B6,'Test Case Design &amp; Test Results'!$J$4:$J$80,"Blocked")</x:f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f>COUNTIF('Test Case Design &amp; Test Results'!$B$4:$B$80,B7)</x:f>
        <x:v>7</x:v>
      </x:c>
      <x:c r="E7" s="259" t="n">
        <x:f>COUNTIFS('Test Case Design &amp; Test Results'!$B$4:$B$80,B7,'Test Case Design &amp; Test Results'!$J$4:$J$80,"Pass")</x:f>
        <x:v>7</x:v>
      </x:c>
      <x:c r="F7" s="259" t="n">
        <x:f>COUNTIFS('Test Case Design &amp; Test Results'!$B$4:$B$80,B7,'Test Case Design &amp; Test Results'!$J$4:$J$80,"Fail")</x:f>
        <x:v>0</x:v>
      </x:c>
      <x:c r="G7" s="259" t="n">
        <x:f>COUNTIFS('Test Case Design &amp; Test Results'!$B$4:$B$80,B7,'Test Case Design &amp; Test Results'!$J$4:$J$80,"Not Run")+COUNTIFS('Test Case Design &amp; Test Results'!$B$4:$B$80,B7,'Test Case Design &amp; Test Results'!$J$4:$J$80,"Waiting Frontend")</x:f>
        <x:v>0</x:v>
      </x:c>
      <x:c r="H7" s="260" t="n">
        <x:f>COUNTIFS('Test Case Design &amp; Test Results'!$B$4:$B$80,B7,'Test Case Design &amp; Test Results'!$J$4:$J$80,"Blocked")</x:f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f>COUNTIF('Test Case Design &amp; Test Results'!$B$4:$B$80,B8)</x:f>
        <x:v>4</x:v>
      </x:c>
      <x:c r="E8" s="259" t="n">
        <x:f>COUNTIFS('Test Case Design &amp; Test Results'!$B$4:$B$80,B8,'Test Case Design &amp; Test Results'!$J$4:$J$80,"Pass")</x:f>
        <x:v>0</x:v>
      </x:c>
      <x:c r="F8" s="259" t="n">
        <x:f>COUNTIFS('Test Case Design &amp; Test Results'!$B$4:$B$80,B8,'Test Case Design &amp; Test Results'!$J$4:$J$80,"Fail")</x:f>
        <x:v>0</x:v>
      </x:c>
      <x:c r="G8" s="259" t="n">
        <x:f>COUNTIFS('Test Case Design &amp; Test Results'!$B$4:$B$80,B8,'Test Case Design &amp; Test Results'!$J$4:$J$80,"Not Run")+COUNTIFS('Test Case Design &amp; Test Results'!$B$4:$B$80,B8,'Test Case Design &amp; Test Results'!$J$4:$J$80,"Waiting Frontend")</x:f>
        <x:v>4</x:v>
      </x:c>
      <x:c r="H8" s="260" t="n">
        <x:f>COUNTIFS('Test Case Design &amp; Test Results'!$B$4:$B$80,B8,'Test Case Design &amp; Test Results'!$J$4:$J$80,"Blocked")</x:f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f>COUNTIF('Test Case Design &amp; Test Results'!$B$4:$B$80,B9)</x:f>
        <x:v>5</x:v>
      </x:c>
      <x:c r="E9" s="266" t="n">
        <x:f>COUNTIFS('Test Case Design &amp; Test Results'!$B$4:$B$80,B9,'Test Case Design &amp; Test Results'!$J$4:$J$80,"Pass")</x:f>
        <x:v>0</x:v>
      </x:c>
      <x:c r="F9" s="266" t="n">
        <x:f>COUNTIFS('Test Case Design &amp; Test Results'!$B$4:$B$80,B9,'Test Case Design &amp; Test Results'!$J$4:$J$80,"Fail")</x:f>
        <x:v>0</x:v>
      </x:c>
      <x:c r="G9" s="266" t="n">
        <x:f>COUNTIFS('Test Case Design &amp; Test Results'!$B$4:$B$80,B9,'Test Case Design &amp; Test Results'!$J$4:$J$80,"Not Run")+COUNTIFS('Test Case Design &amp; Test Results'!$B$4:$B$80,B9,'Test Case Design &amp; Test Results'!$J$4:$J$80,"Waiting Frontend")</x:f>
        <x:v>5</x:v>
      </x:c>
      <x:c r="H9" s="267" t="n">
        <x:f>COUNTIFS('Test Case Design &amp; Test Results'!$B$4:$B$80,B9,'Test Case Design &amp; Test Results'!$J$4:$J$80,"Blocked")</x:f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Planned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Planned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 ht="15" hidden="0" customHeight="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 ht="15" hidden="0" customHeight="1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 ht="15" hidden="0" customHeight="1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 ht="15" hidden="0" customHeight="1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 ht="15" hidden="0" customHeight="1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 ht="15" hidden="0" customHeight="1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 ht="15" hidden="0" customHeight="1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 ht="15" hidden="0" customHeight="1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 ht="15" hidden="0" customHeight="1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 ht="15" hidden="0" customHeight="1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15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Not Run</x:v>
      </x:c>
      <x:c r="J43" s="270" t="str">
        <x:v>Not Run</x:v>
      </x:c>
      <x:c r="K43" s="261" t="str">
        <x:v>Unit test (JUnit 5 / Mockito)</x:v>
      </x:c>
      <x:c r="L43" s="261" t="str"/>
      <x:c r="M43" s="261" t="str"/>
    </x:row>
    <x:row r="44" ht="15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Not Run</x:v>
      </x:c>
      <x:c r="J44" s="270" t="str">
        <x:v>Not Run</x:v>
      </x:c>
      <x:c r="K44" s="261" t="str">
        <x:v>Unit test (JUnit 5 / Mockito)</x:v>
      </x:c>
      <x:c r="L44" s="261" t="str"/>
      <x:c r="M44" s="261" t="str"/>
    </x:row>
    <x:row r="45" ht="15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list payload</x:v>
      </x:c>
      <x:c r="I45" s="261" t="str">
        <x:v>Not Run</x:v>
      </x:c>
      <x:c r="J45" s="270" t="str">
        <x:v>Not Run</x:v>
      </x:c>
      <x:c r="K45" s="261" t="str">
        <x:v>MVC Slice Test</x:v>
      </x:c>
      <x:c r="L45" s="261" t="str"/>
      <x:c r="M45" s="261" t="str"/>
    </x:row>
    <x:row r="46" ht="15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[]</x:v>
      </x:c>
      <x:c r="I46" s="261" t="str">
        <x:v>Not Run</x:v>
      </x:c>
      <x:c r="J46" s="270" t="str">
        <x:v>Not Run</x:v>
      </x:c>
      <x:c r="K46" s="261" t="str">
        <x:v>MVC Slice Test</x:v>
      </x:c>
      <x:c r="L46" s="261" t="str"/>
      <x:c r="M46" s="261" t="str"/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 ht="15" hidden="0" customHeight="1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 ht="15" hidden="0" customHeight="1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 ht="15" hidden="0" customHeight="1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 ht="15" hidden="0" customHeight="1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 ht="15" hidden="0" customHeight="1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 ht="15" hidden="0" customHeight="1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 ht="15" hidden="0" customHeight="1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 ht="15" hidden="0" customHeight="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 ht="15" hidden="0" customHeight="1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 ht="15" hidden="0" customHeight="1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 ht="15" hidden="0" customHeight="1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 ht="15" hidden="0" customHeight="1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 ht="15" hidden="0" customHeight="1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 ht="15" hidden="0" customHeight="1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 ht="15" hidden="0" customHeight="1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 ht="15" hidden="0" customHeight="1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 ht="15" hidden="0" customHeight="1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M1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MVC: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list payload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[]</x:v>
      </x:c>
      <x:c r="E16" s="271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>
      <x:c r="A4" s="275" t="str"/>
      <x:c r="B4" s="276" t="str"/>
      <x:c r="C4" s="276" t="str"/>
      <x:c r="D4" s="276" t="str"/>
      <x:c r="E4" s="276" t="str"/>
      <x:c r="F4" s="276" t="str"/>
      <x:c r="G4" s="276" t="str"/>
      <x:c r="H4" s="277" t="str">
        <x:v>Not Run</x:v>
      </x:c>
      <x:c r="I4" s="276" t="str"/>
      <x:c r="J4" s="276" t="str"/>
      <x:c r="K4" s="278" t="str"/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f>COUNTA('Test Case Design &amp; Test Results'!$C$4:$C$80)</x:f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f>COUNTIF('Test Case Design &amp; Test Results'!$J$4:$J$80,"Pass")+COUNTIF('Test Case Design &amp; Test Results'!$J$4:$J$80,"Fail")+COUNTIF('Test Case Design &amp; Test Results'!$J$4:$J$80,"Blocked")</x:f>
        <x:v>39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f>COUNTIF('Test Case Design &amp; Test Results'!$J$4:$J$80,"Pass")</x:f>
        <x:v>39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f>COUNTIF('Test Case Design &amp; Test Results'!$J$4:$J$80,"Fail")</x:f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f>COUNTIF('Test Case Design &amp; Test Results'!$J$4:$J$80,"Not Run")+COUNTIF('Test Case Design &amp; Test Results'!$J$4:$J$80,"Waiting Frontend")</x:f>
        <x:v>9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