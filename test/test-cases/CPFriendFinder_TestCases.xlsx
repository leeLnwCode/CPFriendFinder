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b23e4853914d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44fbdd05216d46b1"/>
    <x:sheet xmlns:r="http://schemas.openxmlformats.org/officeDocument/2006/relationships" name="Requirements" sheetId="2" r:id="Rc5c1dc8483c047a7"/>
    <x:sheet xmlns:r="http://schemas.openxmlformats.org/officeDocument/2006/relationships" name="Test Case Design &amp; Test Results" sheetId="3" r:id="Rf28f50952fe044e0"/>
    <x:sheet xmlns:r="http://schemas.openxmlformats.org/officeDocument/2006/relationships" name="TS001" sheetId="4" r:id="R6e8768a45a3f48d9"/>
    <x:sheet xmlns:r="http://schemas.openxmlformats.org/officeDocument/2006/relationships" name="TS002" sheetId="5" r:id="Rfca473407a484c01"/>
    <x:sheet xmlns:r="http://schemas.openxmlformats.org/officeDocument/2006/relationships" name="TS003" sheetId="6" r:id="R7b4ab64554014013"/>
    <x:sheet xmlns:r="http://schemas.openxmlformats.org/officeDocument/2006/relationships" name="TS004" sheetId="7" r:id="R95cc202aea614200"/>
    <x:sheet xmlns:r="http://schemas.openxmlformats.org/officeDocument/2006/relationships" name="TS005" sheetId="8" r:id="R4dc4f65d607d45e4"/>
    <x:sheet xmlns:r="http://schemas.openxmlformats.org/officeDocument/2006/relationships" name="TS006" sheetId="9" r:id="R430eb6d86f5c4b60"/>
    <x:sheet xmlns:r="http://schemas.openxmlformats.org/officeDocument/2006/relationships" name="Defect Summary" sheetId="10" r:id="R5b6cf531b649411b"/>
    <x:sheet xmlns:r="http://schemas.openxmlformats.org/officeDocument/2006/relationships" name="Test Summary Report" sheetId="11" r:id="R03990f21f6964d6a"/>
    <x:sheet xmlns:r="http://schemas.openxmlformats.org/officeDocument/2006/relationships" name="Execution Log" sheetId="12" r:id="R527e9af607b04ef4"/>
    <x:sheet xmlns:r="http://schemas.openxmlformats.org/officeDocument/2006/relationships" name="Decision Table" sheetId="13" r:id="R68208e3b9baf4c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952021342a48ee" /><Relationship Type="http://schemas.openxmlformats.org/officeDocument/2006/relationships/theme" Target="/xl/theme/theme1.xml" Id="R8d86c8a0bd084d81" /><Relationship Type="http://schemas.openxmlformats.org/officeDocument/2006/relationships/sharedStrings" Target="/xl/sharedStrings.xml" Id="Rf2778f080e7d4190" /><Relationship Type="http://schemas.openxmlformats.org/officeDocument/2006/relationships/worksheet" Target="/xl/worksheets/sheet1.xml" Id="R44fbdd05216d46b1" /><Relationship Type="http://schemas.openxmlformats.org/officeDocument/2006/relationships/worksheet" Target="/xl/worksheets/sheet2.xml" Id="Rc5c1dc8483c047a7" /><Relationship Type="http://schemas.openxmlformats.org/officeDocument/2006/relationships/worksheet" Target="/xl/worksheets/sheet3.xml" Id="Rf28f50952fe044e0" /><Relationship Type="http://schemas.openxmlformats.org/officeDocument/2006/relationships/worksheet" Target="/xl/worksheets/sheet4.xml" Id="R6e8768a45a3f48d9" /><Relationship Type="http://schemas.openxmlformats.org/officeDocument/2006/relationships/worksheet" Target="/xl/worksheets/sheet5.xml" Id="Rfca473407a484c01" /><Relationship Type="http://schemas.openxmlformats.org/officeDocument/2006/relationships/worksheet" Target="/xl/worksheets/sheet6.xml" Id="R7b4ab64554014013" /><Relationship Type="http://schemas.openxmlformats.org/officeDocument/2006/relationships/worksheet" Target="/xl/worksheets/sheet7.xml" Id="R95cc202aea614200" /><Relationship Type="http://schemas.openxmlformats.org/officeDocument/2006/relationships/worksheet" Target="/xl/worksheets/sheet8.xml" Id="R4dc4f65d607d45e4" /><Relationship Type="http://schemas.openxmlformats.org/officeDocument/2006/relationships/worksheet" Target="/xl/worksheets/sheet9.xml" Id="R430eb6d86f5c4b60" /><Relationship Type="http://schemas.openxmlformats.org/officeDocument/2006/relationships/worksheet" Target="/xl/worksheets/sheet10.xml" Id="R5b6cf531b649411b" /><Relationship Type="http://schemas.openxmlformats.org/officeDocument/2006/relationships/worksheet" Target="/xl/worksheets/sheet11.xml" Id="R03990f21f6964d6a" /><Relationship Type="http://schemas.openxmlformats.org/officeDocument/2006/relationships/worksheet" Target="/xl/worksheets/sheet12.xml" Id="R527e9af607b04ef4" /><Relationship Type="http://schemas.openxmlformats.org/officeDocument/2006/relationships/worksheet" Target="/xl/worksheets/sheet13.xml" Id="R68208e3b9baf4c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f>COUNTIF('Test Case Design &amp; Test Results'!$B$4:$B$80,B4)</x:f>
        <x:v>13</x:v>
      </x:c>
      <x:c r="E4" s="252" t="n">
        <x:f>COUNTIFS('Test Case Design &amp; Test Results'!$B$4:$B$80,B4,'Test Case Design &amp; Test Results'!$J$4:$J$80,"Pass")</x:f>
        <x:v>13</x:v>
      </x:c>
      <x:c r="F4" s="252" t="n">
        <x:f>COUNTIFS('Test Case Design &amp; Test Results'!$B$4:$B$80,B4,'Test Case Design &amp; Test Results'!$J$4:$J$80,"Fail")</x:f>
        <x:v>0</x:v>
      </x:c>
      <x:c r="G4" s="252" t="n">
        <x:f>COUNTIFS('Test Case Design &amp; Test Results'!$B$4:$B$80,B4,'Test Case Design &amp; Test Results'!$J$4:$J$80,"Not Run")+COUNTIFS('Test Case Design &amp; Test Results'!$B$4:$B$80,B4,'Test Case Design &amp; Test Results'!$J$4:$J$80,"Waiting Frontend")</x:f>
        <x:v>0</x:v>
      </x:c>
      <x:c r="H4" s="253" t="n">
        <x:f>COUNTIFS('Test Case Design &amp; Test Results'!$B$4:$B$80,B4,'Test Case Design &amp; Test Results'!$J$4:$J$80,"Blocked")</x:f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f>COUNTIF('Test Case Design &amp; Test Results'!$B$4:$B$80,B5)</x:f>
        <x:v>11</x:v>
      </x:c>
      <x:c r="E5" s="259" t="n">
        <x:f>COUNTIFS('Test Case Design &amp; Test Results'!$B$4:$B$80,B5,'Test Case Design &amp; Test Results'!$J$4:$J$80,"Pass")</x:f>
        <x:v>11</x:v>
      </x:c>
      <x:c r="F5" s="259" t="n">
        <x:f>COUNTIFS('Test Case Design &amp; Test Results'!$B$4:$B$80,B5,'Test Case Design &amp; Test Results'!$J$4:$J$80,"Fail")</x:f>
        <x:v>0</x:v>
      </x:c>
      <x:c r="G5" s="259" t="n">
        <x:f>COUNTIFS('Test Case Design &amp; Test Results'!$B$4:$B$80,B5,'Test Case Design &amp; Test Results'!$J$4:$J$80,"Not Run")+COUNTIFS('Test Case Design &amp; Test Results'!$B$4:$B$80,B5,'Test Case Design &amp; Test Results'!$J$4:$J$80,"Waiting Frontend")</x:f>
        <x:v>0</x:v>
      </x:c>
      <x:c r="H5" s="260" t="n">
        <x:f>COUNTIFS('Test Case Design &amp; Test Results'!$B$4:$B$80,B5,'Test Case Design &amp; Test Results'!$J$4:$J$80,"Blocked")</x:f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f>COUNTIF('Test Case Design &amp; Test Results'!$B$4:$B$80,B6)</x:f>
        <x:v>8</x:v>
      </x:c>
      <x:c r="E6" s="259" t="n">
        <x:f>COUNTIFS('Test Case Design &amp; Test Results'!$B$4:$B$80,B6,'Test Case Design &amp; Test Results'!$J$4:$J$80,"Pass")</x:f>
        <x:v>8</x:v>
      </x:c>
      <x:c r="F6" s="259" t="n">
        <x:f>COUNTIFS('Test Case Design &amp; Test Results'!$B$4:$B$80,B6,'Test Case Design &amp; Test Results'!$J$4:$J$80,"Fail")</x:f>
        <x:v>0</x:v>
      </x:c>
      <x:c r="G6" s="259" t="n">
        <x:f>COUNTIFS('Test Case Design &amp; Test Results'!$B$4:$B$80,B6,'Test Case Design &amp; Test Results'!$J$4:$J$80,"Not Run")+COUNTIFS('Test Case Design &amp; Test Results'!$B$4:$B$80,B6,'Test Case Design &amp; Test Results'!$J$4:$J$80,"Waiting Frontend")</x:f>
        <x:v>0</x:v>
      </x:c>
      <x:c r="H6" s="260" t="n">
        <x:f>COUNTIFS('Test Case Design &amp; Test Results'!$B$4:$B$80,B6,'Test Case Design &amp; Test Results'!$J$4:$J$80,"Blocked")</x:f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f>COUNTIF('Test Case Design &amp; Test Results'!$B$4:$B$80,B7)</x:f>
        <x:v>7</x:v>
      </x:c>
      <x:c r="E7" s="259" t="n">
        <x:f>COUNTIFS('Test Case Design &amp; Test Results'!$B$4:$B$80,B7,'Test Case Design &amp; Test Results'!$J$4:$J$80,"Pass")</x:f>
        <x:v>7</x:v>
      </x:c>
      <x:c r="F7" s="259" t="n">
        <x:f>COUNTIFS('Test Case Design &amp; Test Results'!$B$4:$B$80,B7,'Test Case Design &amp; Test Results'!$J$4:$J$80,"Fail")</x:f>
        <x:v>0</x:v>
      </x:c>
      <x:c r="G7" s="259" t="n">
        <x:f>COUNTIFS('Test Case Design &amp; Test Results'!$B$4:$B$80,B7,'Test Case Design &amp; Test Results'!$J$4:$J$80,"Not Run")+COUNTIFS('Test Case Design &amp; Test Results'!$B$4:$B$80,B7,'Test Case Design &amp; Test Results'!$J$4:$J$80,"Waiting Frontend")</x:f>
        <x:v>0</x:v>
      </x:c>
      <x:c r="H7" s="260" t="n">
        <x:f>COUNTIFS('Test Case Design &amp; Test Results'!$B$4:$B$80,B7,'Test Case Design &amp; Test Results'!$J$4:$J$80,"Blocked")</x:f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f>COUNTIF('Test Case Design &amp; Test Results'!$B$4:$B$80,B8)</x:f>
        <x:v>4</x:v>
      </x:c>
      <x:c r="E8" s="259" t="n">
        <x:f>COUNTIFS('Test Case Design &amp; Test Results'!$B$4:$B$80,B8,'Test Case Design &amp; Test Results'!$J$4:$J$80,"Pass")</x:f>
        <x:v>4</x:v>
      </x:c>
      <x:c r="F8" s="259" t="n">
        <x:f>COUNTIFS('Test Case Design &amp; Test Results'!$B$4:$B$80,B8,'Test Case Design &amp; Test Results'!$J$4:$J$80,"Fail")</x:f>
        <x:v>0</x:v>
      </x:c>
      <x:c r="G8" s="259" t="n">
        <x:f>COUNTIFS('Test Case Design &amp; Test Results'!$B$4:$B$80,B8,'Test Case Design &amp; Test Results'!$J$4:$J$80,"Not Run")+COUNTIFS('Test Case Design &amp; Test Results'!$B$4:$B$80,B8,'Test Case Design &amp; Test Results'!$J$4:$J$80,"Waiting Frontend")</x:f>
        <x:v>0</x:v>
      </x:c>
      <x:c r="H8" s="260" t="n">
        <x:f>COUNTIFS('Test Case Design &amp; Test Results'!$B$4:$B$80,B8,'Test Case Design &amp; Test Results'!$J$4:$J$80,"Blocked")</x:f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f>COUNTIF('Test Case Design &amp; Test Results'!$B$4:$B$80,B9)</x:f>
        <x:v>5</x:v>
      </x:c>
      <x:c r="E9" s="266" t="n">
        <x:f>COUNTIFS('Test Case Design &amp; Test Results'!$B$4:$B$80,B9,'Test Case Design &amp; Test Results'!$J$4:$J$80,"Pass")</x:f>
        <x:v>0</x:v>
      </x:c>
      <x:c r="F9" s="266" t="n">
        <x:f>COUNTIFS('Test Case Design &amp; Test Results'!$B$4:$B$80,B9,'Test Case Design &amp; Test Results'!$J$4:$J$80,"Fail")</x:f>
        <x:v>0</x:v>
      </x:c>
      <x:c r="G9" s="266" t="n">
        <x:f>COUNTIFS('Test Case Design &amp; Test Results'!$B$4:$B$80,B9,'Test Case Design &amp; Test Results'!$J$4:$J$80,"Not Run")+COUNTIFS('Test Case Design &amp; Test Results'!$B$4:$B$80,B9,'Test Case Design &amp; Test Results'!$J$4:$J$80,"Waiting Frontend")</x:f>
        <x:v>5</x:v>
      </x:c>
      <x:c r="H9" s="267" t="n">
        <x:f>COUNTIFS('Test Case Design &amp; Test Results'!$B$4:$B$80,B9,'Test Case Design &amp; Test Results'!$J$4:$J$80,"Blocked")</x:f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 ht="15" hidden="0" customHeight="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 ht="15" hidden="0" customHeight="1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 ht="15" hidden="0" customHeight="1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 ht="15" hidden="0" customHeight="1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 ht="15" hidden="0" customHeight="1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 ht="15" hidden="0" customHeight="1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 ht="15" hidden="0" customHeight="1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 ht="15" hidden="0" customHeight="1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 ht="15" hidden="0" customHeight="1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 ht="15" hidden="0" customHeight="1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 ht="15" hidden="0" customHeight="1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 ht="15" hidden="0" customHeight="1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 ht="15" hidden="0" customHeight="1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 ht="15" hidden="0" customHeight="1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 ht="15" hidden="0" customHeight="1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 ht="15" hidden="0" customHeight="1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 ht="15" hidden="0" customHeight="1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 ht="15" hidden="0" customHeight="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 ht="15" hidden="0" customHeight="1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 ht="15" hidden="0" customHeight="1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 ht="15" hidden="0" customHeight="1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 ht="15" hidden="0" customHeight="1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 ht="15" hidden="0" customHeight="1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 ht="15" hidden="0" customHeight="1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 ht="15" hidden="0" customHeight="1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 ht="15" hidden="0" customHeight="1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 ht="15" hidden="0" customHeight="1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M1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>
      <x:c r="A4" s="275" t="str"/>
      <x:c r="B4" s="276" t="str"/>
      <x:c r="C4" s="276" t="str"/>
      <x:c r="D4" s="276" t="str"/>
      <x:c r="E4" s="276" t="str"/>
      <x:c r="F4" s="276" t="str"/>
      <x:c r="G4" s="276" t="str"/>
      <x:c r="H4" s="277" t="str">
        <x:v>Not Run</x:v>
      </x:c>
      <x:c r="I4" s="276" t="str"/>
      <x:c r="J4" s="276" t="str"/>
      <x:c r="K4" s="278" t="str"/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f>COUNTA('Test Case Design &amp; Test Results'!$C$4:$C$80)</x:f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f>COUNTIF('Test Case Design &amp; Test Results'!$J$4:$J$80,"Pass")+COUNTIF('Test Case Design &amp; Test Results'!$J$4:$J$80,"Fail")+COUNTIF('Test Case Design &amp; Test Results'!$J$4:$J$80,"Blocked")</x:f>
        <x:v>43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f>COUNTIF('Test Case Design &amp; Test Results'!$J$4:$J$80,"Pass")</x:f>
        <x:v>43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f>COUNTIF('Test Case Design &amp; Test Results'!$J$4:$J$80,"Fail")</x:f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f>COUNTIF('Test Case Design &amp; Test Results'!$J$4:$J$80,"Not Run")+COUNTIF('Test Case Design &amp; Test Results'!$J$4:$J$80,"Waiting Frontend")</x:f>
        <x:v>5</x:v>
      </x:c>
      <x:c r="C9" s="244"/>
      <x:c r="D9" s="244" t="str">
        <x:v>TS005</x:v>
      </x:c>
      <x:c r="E9" s="244" t="str">
        <x:v>4/4 Pass</x:v>
      </x:c>
      <x:c r="F9" s="244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 t="str">
        <x:v>TS005</x:v>
      </x:c>
      <x:c r="B9" s="244" t="str">
        <x:v>2026-10-01 17:20:05 +07:00</x:v>
      </x:c>
      <x:c r="C9" s="244" t="str">
        <x:v>InterestServiceTest + InterestControllerMvcTest</x:v>
      </x:c>
      <x:c r="D9" s="244" t="n">
        <x:v>4</x:v>
      </x:c>
      <x:c r="E9" s="244" t="n">
        <x:v>4</x:v>
      </x:c>
      <x:c r="F9" s="244" t="n">
        <x:v>0</x:v>
      </x:c>
      <x:c r="G9" s="244" t="str">
        <x:v>0 / 0</x:v>
      </x:c>
      <x:c r="H9" s="244" t="str">
        <x:v>BUILD SUCCESS</x:v>
      </x:c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