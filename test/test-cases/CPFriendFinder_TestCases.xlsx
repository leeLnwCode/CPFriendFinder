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64308b7ee4f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a95ad2d227914695"/>
    <x:sheet xmlns:r="http://schemas.openxmlformats.org/officeDocument/2006/relationships" name="Test Scenario Summary" sheetId="2" r:id="R412769676df149e3"/>
    <x:sheet xmlns:r="http://schemas.openxmlformats.org/officeDocument/2006/relationships" name="Defect Summary" sheetId="3" r:id="R8d2856b698fa4ea4"/>
    <x:sheet xmlns:r="http://schemas.openxmlformats.org/officeDocument/2006/relationships" name="TS001" sheetId="4" r:id="R87427b80d2fa4c62"/>
    <x:sheet xmlns:r="http://schemas.openxmlformats.org/officeDocument/2006/relationships" name="TS002" sheetId="5" r:id="Ra3576b2d5b314952"/>
    <x:sheet xmlns:r="http://schemas.openxmlformats.org/officeDocument/2006/relationships" name="Test Case Design &amp; Test Results" sheetId="6" r:id="R9ad112dcc8f64446"/>
    <x:sheet xmlns:r="http://schemas.openxmlformats.org/officeDocument/2006/relationships" name="Requirements Traceability" sheetId="7" r:id="R8ca37dfc005d4356"/>
    <x:sheet xmlns:r="http://schemas.openxmlformats.org/officeDocument/2006/relationships" name="Test Summary Report" sheetId="8" r:id="Rfc2af004083c499b"/>
    <x:sheet xmlns:r="http://schemas.openxmlformats.org/officeDocument/2006/relationships" name="Execution Log" sheetId="9" r:id="Rbe423bd2a3b14c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1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16324F"/>
      <x:name val="Carlito"/>
    </x:font>
    <x:font>
      <x:b/>
      <x:sz val="14"/>
      <x:color rgb="FF252525"/>
      <x:name val="Carlito"/>
    </x:font>
    <x:font>
      <x:b/>
      <x:sz val="13"/>
      <x:color rgb="FF292929"/>
      <x:name val="Aptos"/>
    </x:font>
    <x:font>
      <x:b/>
      <x:sz val="10"/>
      <x:color rgb="FF202020"/>
      <x:name val="Aptos"/>
    </x:font>
    <x:font>
      <x:b/>
      <x:sz val="10"/>
      <x:color rgb="FF303030"/>
      <x:name val="Aptos"/>
    </x:font>
    <x:font>
      <x:b/>
      <x:sz val="10"/>
      <x:color rgb="FF253848"/>
      <x:name val="Aptos"/>
    </x:font>
    <x:font>
      <x:b/>
      <x:sz val="11"/>
      <x:color rgb="FF253848"/>
      <x:name val="Carlito"/>
    </x:font>
    <x:font>
      <x:b/>
      <x:sz val="15"/>
      <x:color rgb="FF292929"/>
      <x:name val="Aptos"/>
    </x:font>
    <x:font>
      <x:b/>
      <x:sz val="15"/>
      <x:color rgb="FF667788"/>
      <x:name val="Carlito"/>
    </x:font>
    <x:font>
      <x:b/>
      <x:sz val="11"/>
      <x:name val="Carlito"/>
    </x:font>
    <x:font>
      <x:b/>
      <x:sz val="15"/>
      <x:color rgb="FF52616D"/>
      <x:name val="Carlito"/>
    </x:font>
    <x:font>
      <x:b/>
      <x:sz val="10"/>
      <x:color rgb="FF52616D"/>
      <x:name val="Carlito"/>
    </x:font>
    <x:font>
      <x:sz val="11"/>
      <x:color rgb="FF253848"/>
      <x:name val="Carlito"/>
    </x:font>
    <x:font>
      <x:sz val="10"/>
      <x:color rgb="FF253848"/>
      <x:name val="Aptos"/>
    </x:font>
    <x:font>
      <x:sz val="11"/>
      <x:color rgb="FF253848"/>
      <x:name val="Carlito"/>
    </x:font>
    <x:font>
      <x:sz val="10"/>
      <x:color rgb="FF52616D"/>
      <x:name val="Carlito"/>
    </x:font>
    <x:font>
      <x:sz val="15"/>
      <x:color rgb="FF52616D"/>
      <x:name val="Carlito"/>
    </x:font>
    <x:font>
      <x:sz val="10"/>
      <x:color rgb="FF253848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67E8A"/>
      </x:patternFill>
    </x:fill>
    <x:fill>
      <x:patternFill patternType="solid">
        <x:fgColor rgb="FF16324F"/>
      </x:patternFill>
    </x:fill>
    <x:fill>
      <x:patternFill patternType="solid">
        <x:fgColor rgb="FFFFF4D5"/>
      </x:patternFill>
    </x:fill>
    <x:fill>
      <x:patternFill patternType="solid">
        <x:fgColor rgb="FFE8F3F4"/>
      </x:patternFill>
    </x:fill>
    <x:fill>
      <x:patternFill patternType="solid">
        <x:fgColor rgb="FFFFFFFF"/>
      </x:patternFill>
    </x:fill>
    <x:fill>
      <x:patternFill patternType="solid">
        <x:fgColor rgb="FFE7E7E7"/>
      </x:patternFill>
    </x:fill>
    <x:fill>
      <x:patternFill patternType="solid">
        <x:fgColor rgb="FFF1F1F1"/>
      </x:patternFill>
    </x:fill>
    <x:fill>
      <x:patternFill patternType="solid">
        <x:fgColor rgb="FFFFFDF4"/>
      </x:patternFill>
    </x:fill>
    <x:fill>
      <x:patternFill patternType="solid">
        <x:fgColor rgb="FFE4EBEE"/>
      </x:patternFill>
    </x:fill>
    <x:fill>
      <x:patternFill patternType="solid">
        <x:fgColor rgb="FFEEF3F5"/>
      </x:patternFill>
    </x:fill>
    <x:fill>
      <x:patternFill patternType="solid">
        <x:fgColor rgb="FFF1F5F7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8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 wrapText="1"/>
    </x:xf>
    <x:xf numFmtId="0" fontId="6" fillId="7" borderId="0" xfId="0" applyNumberFormat="1" applyFont="1" applyFill="1" applyBorder="1" applyAlignment="1">
      <x:alignment horizontal="center" vertic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7" fillId="8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/>
    <x:xf numFmtId="0" fontId="0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8" fillId="10" borderId="0" xfId="0" applyNumberFormat="1" applyFont="1" applyFill="1" applyBorder="1" applyAlignment="1">
      <x:alignment horizontal="center" vertical="center" wrapText="1"/>
    </x:xf>
    <x:xf numFmtId="0" fontId="7" fillId="10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0" fontId="9" fillId="10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 vertical="center" wrapText="1"/>
    </x:xf>
    <x:xf numFmtId="0" fontId="9" fillId="11" borderId="0" xfId="0" applyNumberFormat="1" applyFont="1" applyFill="1" applyBorder="1"/>
    <x:xf numFmtId="0" fontId="10" fillId="6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9" fillId="11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 applyAlignment="1">
      <x:alignment vertical="center" wrapText="1"/>
    </x:xf>
    <x:xf numFmtId="0" fontId="10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2" borderId="0" xfId="0" applyNumberFormat="1" applyFont="1" applyFill="1" applyBorder="1" applyAlignment="1">
      <x:alignment vertical="center"/>
    </x:xf>
    <x:xf numFmtId="0" fontId="7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vertical="center" wrapText="1"/>
    </x:xf>
    <x:xf numFmtId="0" fontId="8" fillId="13" borderId="0" xfId="0" applyNumberFormat="1" applyFont="1" applyFill="1" applyBorder="1" applyAlignment="1">
      <x:alignment horizontal="center" vertical="center" wrapText="1"/>
    </x:xf>
    <x:xf numFmtId="0" fontId="15" fillId="13" borderId="0" xfId="0" applyNumberFormat="1" applyFont="1" applyFill="1" applyBorder="1" applyAlignment="1">
      <x:alignment wrapText="1"/>
    </x:xf>
    <x:xf numFmtId="0" fontId="15" fillId="13" borderId="0" xfId="0" applyNumberFormat="1" applyFont="1" applyFill="1" applyBorder="1" applyAlignment="1">
      <x:alignment vertical="center" wrapText="1"/>
    </x:xf>
    <x:xf numFmtId="0" fontId="16" fillId="13" borderId="0" xfId="0" applyNumberFormat="1" applyFont="1" applyFill="1" applyBorder="1" applyAlignment="1">
      <x:alignment horizontal="center" vertical="center" wrapText="1"/>
    </x:xf>
    <x:xf numFmtId="0" fontId="17" fillId="13" borderId="0" xfId="0" applyNumberFormat="1" applyFont="1" applyFill="1" applyBorder="1" applyAlignment="1">
      <x:alignment wrapText="1"/>
    </x:xf>
    <x:xf numFmtId="0" fontId="17" fillId="13" borderId="0" xfId="0" applyNumberFormat="1" applyFont="1" applyFill="1" applyBorder="1" applyAlignment="1">
      <x:alignment vertical="center" wrapText="1"/>
    </x:xf>
    <x:xf numFmtId="0" fontId="9" fillId="13" borderId="0" xfId="0" applyNumberFormat="1" applyFont="1" applyFill="1" applyBorder="1" applyAlignment="1">
      <x:alignment vertical="center" wrapText="1"/>
    </x:xf>
    <x:xf numFmtId="0" fontId="16" fillId="13" borderId="0" xfId="0" applyNumberFormat="1" applyFont="1" applyFill="1" applyBorder="1" applyAlignment="1">
      <x:alignment horizontal="left" vertical="center" wrapText="1"/>
    </x:xf>
    <x:xf numFmtId="0" fontId="17" fillId="13" borderId="0" xfId="0" applyNumberFormat="1" applyFont="1" applyFill="1" applyBorder="1" applyAlignment="1">
      <x:alignment horizontal="left" vertical="center" wrapText="1"/>
    </x:xf>
    <x:xf numFmtId="0" fontId="7" fillId="8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left" wrapText="1"/>
    </x:xf>
    <x:xf numFmtId="0" fontId="7" fillId="13" borderId="0" xfId="0" applyNumberFormat="1" applyFont="1" applyFill="1" applyBorder="1" applyAlignment="1">
      <x:alignment horizontal="left" vertical="center" wrapText="1"/>
    </x:xf>
    <x:xf numFmtId="0" fontId="0" fillId="13" borderId="0" xfId="0" applyNumberFormat="1" applyFont="1" applyFill="1" applyBorder="1" applyAlignment="1">
      <x:alignment horizontal="left" wrapText="1"/>
    </x:xf>
    <x:xf numFmtId="0" fontId="12" fillId="13" borderId="0" xfId="0" applyNumberFormat="1" applyFont="1" applyFill="1" applyBorder="1" applyAlignment="1">
      <x:alignment wrapText="1"/>
    </x:xf>
    <x:xf numFmtId="0" fontId="1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3" fillId="12" borderId="0" xfId="0" applyNumberFormat="1" applyFont="1" applyFill="1" applyBorder="1" applyAlignment="1">
      <x:alignment vertical="center"/>
    </x:xf>
    <x:xf numFmtId="0" fontId="18" fillId="12" borderId="0" xfId="0" applyNumberFormat="1" applyFont="1" applyFill="1" applyBorder="1" applyAlignment="1">
      <x:alignment vertical="center"/>
    </x:xf>
    <x:xf numFmtId="0" fontId="19" fillId="12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 applyAlignment="1">
      <x:alignment horizontal="left" vertical="center" wrapText="1"/>
    </x:xf>
    <x:xf numFmtId="0" fontId="9" fillId="13" borderId="0" xfId="0" applyNumberFormat="1" applyFont="1" applyFill="1" applyBorder="1" applyAlignment="1">
      <x:alignment horizontal="left" vertical="center" wrapText="1"/>
    </x:xf>
    <x:xf numFmtId="0" fontId="20" fillId="13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4">
    <x:dxf>
      <x:fill>
        <x:patternFill>
          <x:bgColor rgb="FFD9F0E5"/>
        </x:patternFill>
      </x:fill>
    </x:dxf>
    <x:dxf>
      <x:fill>
        <x:patternFill>
          <x:bgColor rgb="FFFFE0DF"/>
        </x:patternFill>
      </x:fill>
    </x:dxf>
    <x:dxf>
      <x:fill>
        <x:patternFill>
          <x:bgColor rgb="FFFFF0C8"/>
        </x:patternFill>
      </x:fill>
    </x:dxf>
    <x:dxf>
      <x:fill>
        <x:patternFill>
          <x:bgColor rgb="FFEDF0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150bb4afa94a39" /><Relationship Type="http://schemas.openxmlformats.org/officeDocument/2006/relationships/theme" Target="/xl/theme/theme1.xml" Id="R431ba04da43449ec" /><Relationship Type="http://schemas.openxmlformats.org/officeDocument/2006/relationships/sharedStrings" Target="/xl/sharedStrings.xml" Id="Rbee4c14a63fa46d0" /><Relationship Type="http://schemas.openxmlformats.org/officeDocument/2006/relationships/worksheet" Target="/xl/worksheets/sheet1.xml" Id="Ra95ad2d227914695" /><Relationship Type="http://schemas.openxmlformats.org/officeDocument/2006/relationships/worksheet" Target="/xl/worksheets/sheet2.xml" Id="R412769676df149e3" /><Relationship Type="http://schemas.openxmlformats.org/officeDocument/2006/relationships/worksheet" Target="/xl/worksheets/sheet3.xml" Id="R8d2856b698fa4ea4" /><Relationship Type="http://schemas.openxmlformats.org/officeDocument/2006/relationships/worksheet" Target="/xl/worksheets/sheet4.xml" Id="R87427b80d2fa4c62" /><Relationship Type="http://schemas.openxmlformats.org/officeDocument/2006/relationships/worksheet" Target="/xl/worksheets/sheet5.xml" Id="Ra3576b2d5b314952" /><Relationship Type="http://schemas.openxmlformats.org/officeDocument/2006/relationships/worksheet" Target="/xl/worksheets/sheet6.xml" Id="R9ad112dcc8f64446" /><Relationship Type="http://schemas.openxmlformats.org/officeDocument/2006/relationships/worksheet" Target="/xl/worksheets/sheet7.xml" Id="R8ca37dfc005d4356" /><Relationship Type="http://schemas.openxmlformats.org/officeDocument/2006/relationships/worksheet" Target="/xl/worksheets/sheet8.xml" Id="Rfc2af004083c499b" /><Relationship Type="http://schemas.openxmlformats.org/officeDocument/2006/relationships/worksheet" Target="/xl/worksheets/sheet9.xml" Id="Rbe423bd2a3b14c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1" hidden="0" customWidth="1"/>
  </x:cols>
  <x:sheetData>
    <x:row r="1" ht="33" customHeight="1">
      <x:c r="A1" s="34" t="str">
        <x:v>ข้อมูลเอกสารการทดสอบ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</x:row>
    <x:row r="4" ht="34" customHeight="1">
      <x:c r="A4" s="37" t="str">
        <x:v>หัวข้อ</x:v>
      </x:c>
      <x:c r="B4" s="37" t="str">
        <x:v>รายละเอียด</x:v>
      </x:c>
    </x:row>
    <x:row r="5" ht="29" customHeight="1">
      <x:c r="A5" s="40" t="str">
        <x:v>โครงการ</x:v>
      </x:c>
      <x:c r="B5" s="20" t="str">
        <x:v>CPFriendFinder (CP353002)</x:v>
      </x:c>
    </x:row>
    <x:row r="6" ht="29" customHeight="1">
      <x:c r="A6" s="40" t="str">
        <x:v>ผู้รับผิดชอบ</x:v>
      </x:c>
      <x:c r="B6" s="20" t="str">
        <x:v>จิรัชญา เป้าจันทึก — Tester</x:v>
      </x:c>
    </x:row>
    <x:row r="7" ht="29" customHeight="1">
      <x:c r="A7" s="40" t="str">
        <x:v>วันที่เริ่มจัดทำ</x:v>
      </x:c>
      <x:c r="B7" s="20" t="str">
        <x:v>30 กันยายน 2569</x:v>
      </x:c>
    </x:row>
    <x:row r="8" ht="35" customHeight="1">
      <x:c r="A8" s="40" t="str">
        <x:v>ส่วนที่ทดสอบ</x:v>
      </x:c>
      <x:c r="B8" s="20" t="str">
        <x:v>AuthService: สมัครสมาชิกและเข้าสู่ระบบ</x:v>
      </x:c>
    </x:row>
    <x:row r="9" ht="35" customHeight="1">
      <x:c r="A9" s="40" t="str">
        <x:v>รายการที่ออกแบบ</x:v>
      </x:c>
      <x:c r="B9" s="20" t="str">
        <x:v>Register 12 กรณี และ Login 11 กรณี</x:v>
      </x:c>
    </x:row>
    <x:row r="10" ht="35" customHeight="1">
      <x:c r="A10" s="40" t="str">
        <x:v>ผลทดสอบเริ่มต้น</x:v>
      </x:c>
      <x:c r="B10" s="20" t="str">
        <x:v>FriendApplicationTests.contextLoads: ผ่าน 1/1</x:v>
      </x:c>
    </x:row>
    <x:row r="11" ht="35" customHeight="1">
      <x:c r="A11" s="40" t="str">
        <x:v>ผลทดสอบล่าสุด</x:v>
      </x:c>
      <x:c r="B11" s="20" t="str">
        <x:v>Register ผ่าน 12/12, Login ผ่าน 11/11; รวมผล Maven ผ่าน 25/25</x:v>
      </x:c>
    </x:row>
    <x:row r="12" ht="35" customHeight="1">
      <x:c r="A12" s="40" t="str">
        <x:v>วันที่และคำสั่ง</x:v>
      </x:c>
      <x:c r="B12" s="20" t="str">
        <x:v>30 ก.ย. 2569 เวลา 14:14 น. | ./mvnw -Djava.version=21 clean test</x:v>
      </x:c>
    </x:row>
    <x:row r="13" ht="35" customHeight="1">
      <x:c r="A13" s="40" t="str">
        <x:v>ขอบเขตผลการทดสอบ</x:v>
      </x:c>
      <x:c r="B13" s="20" t="str">
        <x:v>ผลที่บันทึกครอบคลุม Spring context และ AuthService; ยังไม่มีผลทดสอบ API, ฐานข้อมูลจริง หรือ UAT</x:v>
      </x:c>
    </x:row>
    <x:row r="16" ht="27" customHeight="1">
      <x:c r="A16" s="39" t="str">
        <x:v>เอกสารประกอบ</x:v>
      </x:c>
      <x:c r="B16" s="39" t="str">
        <x:v>ตำแหน่ง</x:v>
      </x:c>
    </x:row>
    <x:row r="17">
      <x:c r="A17" t="str">
        <x:v>แผนทดสอบ</x:v>
      </x:c>
      <x:c r="B17" t="str">
        <x:v>test/test-plan/test-plan.md</x:v>
      </x:c>
    </x:row>
    <x:row r="18">
      <x:c r="A18" t="str">
        <x:v>ไฟล์ Excel เล่มนี้</x:v>
      </x:c>
      <x:c r="B18" t="str">
        <x:v>สมุดงาน Excel นี้</x:v>
      </x:c>
    </x:row>
    <x:row r="19">
      <x:c r="A19" t="str">
        <x:v>หลักฐานเดิม</x:v>
      </x:c>
      <x:c r="B19" t="str">
        <x:v>test/reports/baseline-2026-09-30.md</x:v>
      </x:c>
    </x:row>
    <x:row r="20">
      <x:c r="A20" t="str">
        <x:v>รายงานสรุป</x:v>
      </x:c>
      <x:c r="B20" t="str">
        <x:v>test/reports/test-summary.md</x:v>
      </x:c>
    </x:row>
    <x:row r="21">
      <x:c r="A21" t="str">
        <x:v>บันทึกข้อสังเกต</x:v>
      </x:c>
      <x:c r="B21" t="str">
        <x:v>test/reports/review-notes.md</x:v>
      </x:c>
    </x:row>
    <x:row r="22">
      <x:c r="A22" t="str">
        <x:v>JUnit</x:v>
      </x:c>
      <x:c r="B22" t="str">
        <x:v>src/test/java/com/cp/friend/service/</x:v>
      </x:c>
    </x:row>
    <x:row r="25" ht="32" customHeight="1">
      <x:c r="A25" s="39" t="str">
        <x:v>ข้อมูลเพิ่มเติม</x:v>
      </x:c>
      <x:c r="B25" s="39" t="str">
        <x:v>ผลจากการรันทดสอบจัดเก็บใน test/reports/ และ target/surefire-reports/</x:v>
      </x:c>
    </x:row>
    <x:row r="26" ht="32" customHeight="1">
      <x:c r="A26" s="18" t="str">
        <x:v>ข้อมูลอ้างอิง</x:v>
      </x:c>
      <x:c r="B26" s="18" t="str">
        <x:v>รหัส REQ และ UC ภายใน Excel เป็นรหัสสำหรับติดตาม Test Case ในเอกสารนี้</x:v>
      </x:c>
    </x:row>
    <x:row r="27" ht="32" customHeight="1">
      <x:c r="A27" s="18"/>
      <x:c r="B27" s="18"/>
    </x:row>
    <x:row r="28" ht="32" customHeight="1">
      <x:c r="A28" s="18"/>
      <x:c r="B28" s="18"/>
    </x:row>
  </x:sheetData>
  <x:mergeCells>
    <x:mergeCell ref="A1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65" hidden="0" customWidth="1"/>
    <x:col min="4" max="4" width="15" hidden="0" customWidth="1"/>
    <x:col min="5" max="5" width="11" hidden="0" customWidth="1"/>
    <x:col min="6" max="6" width="11" hidden="0" customWidth="1"/>
    <x:col min="7" max="7" width="12" hidden="0" customWidth="1"/>
    <x:col min="8" max="8" width="12" hidden="0" customWidth="1"/>
    <x:col min="9" max="9" width="28" hidden="0" customWidth="1"/>
  </x:cols>
  <x:sheetData>
    <x:row r="1" ht="33" customHeight="1">
      <x:c r="A1" s="34" t="str">
        <x:v>สรุปสถานการณ์ทดสอบ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4" ht="34" customHeight="1">
      <x:c r="A4" s="37" t="str">
        <x:v>Use Case ID</x:v>
      </x:c>
      <x:c r="B4" s="37" t="str">
        <x:v>Scenario ID</x:v>
      </x:c>
      <x:c r="C4" s="37" t="str">
        <x:v>สถานการณ์ทดสอบ</x:v>
      </x:c>
      <x:c r="D4" s="37" t="str">
        <x:v>จำนวนกรณี</x:v>
      </x:c>
      <x:c r="E4" s="37" t="str">
        <x:v>ผ่าน</x:v>
      </x:c>
      <x:c r="F4" s="37" t="str">
        <x:v>ไม่ผ่าน</x:v>
      </x:c>
      <x:c r="G4" s="37" t="str">
        <x:v>ยังไม่รัน</x:v>
      </x:c>
      <x:c r="H4" s="37" t="str">
        <x:v>ติดปัญหา</x:v>
      </x:c>
      <x:c r="I4" s="37" t="str">
        <x:v>หมายเหตุ</x:v>
      </x:c>
    </x:row>
    <x:row r="5" ht="31" customHeight="1">
      <x:c r="A5" s="20" t="str">
        <x:v>UC-AUTH-01</x:v>
      </x:c>
      <x:c r="B5" s="20" t="str">
        <x:v>TS001</x:v>
      </x:c>
      <x:c r="C5" s="20" t="str">
        <x:v>สมัครสมาชิก: ข้อมูลถูกต้อง ข้อมูลไม่ครบ และอีเมลซ้ำ</x:v>
      </x:c>
      <x:c r="D5" s="20" t="n">
        <x:f>COUNTIF('Test Case Design &amp; Test Results'!$B$5:$B$250,B5)</x:f>
        <x:v>12</x:v>
      </x:c>
      <x:c r="E5" s="20" t="n">
        <x:f>COUNTIFS('Test Case Design &amp; Test Results'!$B$5:$B$250,B5,'Test Case Design &amp; Test Results'!$J$5:$J$250,"Pass")</x:f>
        <x:v>12</x:v>
      </x:c>
      <x:c r="F5" s="20" t="n">
        <x:f>COUNTIFS('Test Case Design &amp; Test Results'!$B$5:$B$250,B5,'Test Case Design &amp; Test Results'!$J$5:$J$250,"Fail")</x:f>
        <x:v>0</x:v>
      </x:c>
      <x:c r="G5" s="20" t="n">
        <x:f>COUNTIFS('Test Case Design &amp; Test Results'!$B$5:$B$250,B5,'Test Case Design &amp; Test Results'!$J$5:$J$250,"No run")</x:f>
        <x:v>0</x:v>
      </x:c>
      <x:c r="H5" s="20" t="n">
        <x:f>COUNTIFS('Test Case Design &amp; Test Results'!$B$5:$B$250,B5,'Test Case Design &amp; Test Results'!$J$5:$J$250,"Block")</x:f>
        <x:v>0</x:v>
      </x:c>
      <x:c r="I5" s="20" t="str">
        <x:v>AuthService.register</x:v>
      </x:c>
    </x:row>
    <x:row r="6" ht="31" customHeight="1">
      <x:c r="A6" s="20" t="str">
        <x:v>UC-AUTH-02</x:v>
      </x:c>
      <x:c r="B6" s="20" t="str">
        <x:v>TS002</x:v>
      </x:c>
      <x:c r="C6" s="20" t="str">
        <x:v>เข้าสู่ระบบ: ข้อมูลถูกต้อง ข้อมูลผิด และสถานะบัญชี</x:v>
      </x:c>
      <x:c r="D6" s="20" t="n">
        <x:f>COUNTIF('Test Case Design &amp; Test Results'!$B$5:$B$250,B6)</x:f>
        <x:v>11</x:v>
      </x:c>
      <x:c r="E6" s="20" t="n">
        <x:f>COUNTIFS('Test Case Design &amp; Test Results'!$B$5:$B$250,B6,'Test Case Design &amp; Test Results'!$J$5:$J$250,"Pass")</x:f>
        <x:v>11</x:v>
      </x:c>
      <x:c r="F6" s="20" t="n">
        <x:f>COUNTIFS('Test Case Design &amp; Test Results'!$B$5:$B$250,B6,'Test Case Design &amp; Test Results'!$J$5:$J$250,"Fail")</x:f>
        <x:v>0</x:v>
      </x:c>
      <x:c r="G6" s="20" t="n">
        <x:f>COUNTIFS('Test Case Design &amp; Test Results'!$B$5:$B$250,B6,'Test Case Design &amp; Test Results'!$J$5:$J$250,"No run")</x:f>
        <x:v>0</x:v>
      </x:c>
      <x:c r="H6" s="20" t="n">
        <x:f>COUNTIFS('Test Case Design &amp; Test Results'!$B$5:$B$250,B6,'Test Case Design &amp; Test Results'!$J$5:$J$250,"Block")</x:f>
        <x:v>0</x:v>
      </x:c>
      <x:c r="I6" s="20" t="str">
        <x:v>AuthService.login</x:v>
      </x:c>
    </x:row>
    <x:row r="8" ht="34" customHeight="1">
      <x:c r="A8" s="23" t="str">
        <x:v>หมายเหตุ: จำนวนและสถานะคำนวณจากแผ่น 'Test Case Design &amp; Test Results' เมื่อบันทึกผลจริง</x:v>
      </x:c>
      <x:c r="B8" s="23" t="str"/>
      <x:c r="C8" s="23" t="str"/>
      <x:c r="D8" s="23"/>
      <x:c r="E8" s="23"/>
      <x:c r="F8" s="23"/>
      <x:c r="G8" s="23"/>
      <x:c r="H8" s="23"/>
      <x:c r="I8" s="23"/>
    </x:row>
  </x:sheetData>
  <x:mergeCells>
    <x:mergeCell ref="A1:I2"/>
    <x:mergeCell ref="A8:I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7" hidden="0" customWidth="1"/>
    <x:col min="3" max="3" width="34" hidden="0" customWidth="1"/>
    <x:col min="4" max="4" width="16" hidden="0" customWidth="1"/>
    <x:col min="5" max="5" width="16" hidden="0" customWidth="1"/>
    <x:col min="6" max="6" width="21" hidden="0" customWidth="1"/>
    <x:col min="7" max="7" width="16" hidden="0" customWidth="1"/>
    <x:col min="8" max="8" width="16" hidden="0" customWidth="1"/>
    <x:col min="9" max="9" width="16" hidden="0" customWidth="1"/>
    <x:col min="10" max="10" width="17" hidden="0" customWidth="1"/>
    <x:col min="11" max="11" width="47" hidden="0" customWidth="1"/>
  </x:cols>
  <x:sheetData>
    <x:row r="1" ht="33" customHeight="1">
      <x:c r="A1" s="34" t="str">
        <x:v>สรุปข้อบกพร่องที่พบ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4" ht="34" customHeight="1">
      <x:c r="A4" s="37" t="str">
        <x:v>ลำดับ</x:v>
      </x:c>
      <x:c r="B4" s="37" t="str">
        <x:v>Defect ID</x:v>
      </x:c>
      <x:c r="C4" s="37" t="str">
        <x:v>รายละเอียดปัญหา</x:v>
      </x:c>
      <x:c r="D4" s="37" t="str">
        <x:v>วันที่พบ</x:v>
      </x:c>
      <x:c r="E4" s="37" t="str">
        <x:v>วันที่แก้</x:v>
      </x:c>
      <x:c r="F4" s="37" t="str">
        <x:v>ผู้รายงาน</x:v>
      </x:c>
      <x:c r="G4" s="37" t="str">
        <x:v>สถานะ</x:v>
      </x:c>
      <x:c r="H4" s="37" t="str">
        <x:v>ความรุนแรง</x:v>
      </x:c>
      <x:c r="I4" s="37" t="str">
        <x:v>ความสำคัญ</x:v>
      </x:c>
      <x:c r="J4" s="37" t="str">
        <x:v>ผู้ตรวจแก้</x:v>
      </x:c>
      <x:c r="K4" s="37" t="str">
        <x:v>หลักฐาน / ขั้นตอนทำซ้ำ</x:v>
      </x:c>
    </x:row>
    <x:row r="6" ht="42" customHeight="1">
      <x:c r="A6" s="23" t="str">
        <x:v>ยังไม่มีข้อบกพร่องที่ยืนยันจากชุดทดสอบนี้</x:v>
      </x:c>
      <x:c r="B6" s="23"/>
      <x:c r="C6" s="23"/>
      <x:c r="D6" s="23"/>
      <x:c r="E6" s="23"/>
      <x:c r="F6" s="23"/>
      <x:c r="G6" s="23"/>
      <x:c r="H6" s="23"/>
      <x:c r="I6" s="23"/>
      <x:c r="J6" s="23"/>
      <x:c r="K6" s="23"/>
    </x:row>
  </x:sheetData>
  <x:mergeCells>
    <x:mergeCell ref="A1:K2"/>
    <x:mergeCell ref="B6:K6"/>
  </x:mergeCells>
  <x:dataValidations count="3">
    <x:dataValidation type="list" sqref="G5:G100">
      <x:formula1>"Open,In progress,Resolved,Closed"</x:formula1>
    </x:dataValidation>
    <x:dataValidation type="list" sqref="H5:H100">
      <x:formula1>"Low,Medium,High,Critical"</x:formula1>
    </x:dataValidation>
    <x:dataValidation type="list" sqref="I5:I100">
      <x:formula1>"Low,Medium,High,Critical"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6" hidden="0" customWidth="1"/>
    <x:col min="3" max="3" width="36" hidden="0" customWidth="1"/>
    <x:col min="4" max="4" width="37" hidden="0" customWidth="1"/>
    <x:col min="5" max="5" width="50" hidden="0" customWidth="1"/>
    <x:col min="6" max="6" width="12" hidden="0" customWidth="1"/>
  </x:cols>
  <x:sheetData>
    <x:row r="1" ht="33" customHeight="1">
      <x:c r="A1" s="34" t="str">
        <x:v>TS001  การสมัครสมาชิก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</x:row>
    <x:row r="4" ht="24" customHeight="1">
      <x:c r="A4" s="41" t="str">
        <x:v>Scenario ID</x:v>
      </x:c>
      <x:c r="B4" t="str">
        <x:v>TS001</x:v>
      </x:c>
    </x:row>
    <x:row r="5" ht="24" customHeight="1">
      <x:c r="A5" s="41" t="str">
        <x:v>Use Case ID</x:v>
      </x:c>
      <x:c r="B5" t="str">
        <x:v>UC-AUTH-01</x:v>
      </x:c>
    </x:row>
    <x:row r="6" ht="24" customHeight="1">
      <x:c r="A6" s="41" t="str">
        <x:v>สถานการณ์ทดสอบ</x:v>
      </x:c>
      <x:c r="B6" t="str">
        <x:v>การสมัครสมาชิก</x:v>
      </x:c>
    </x:row>
    <x:row r="7" ht="24" customHeight="1">
      <x:c r="A7" s="41" t="str">
        <x:v>ส่วนที่ทดสอบ</x:v>
      </x:c>
      <x:c r="B7" t="str">
        <x:v>AuthService.register</x:v>
      </x:c>
    </x:row>
    <x:row r="8" ht="24" customHeight="1">
      <x:c r="A8" s="41" t="str">
        <x:v>รหัสกรณีทดสอบ</x:v>
      </x:c>
      <x:c r="B8" t="str">
        <x:v>REG-001 ถึง REG-012</x:v>
      </x:c>
    </x:row>
    <x:row r="9" ht="24" customHeight="1">
      <x:c r="A9" s="41" t="str">
        <x:v>ผลการทดสอบ</x:v>
      </x:c>
      <x:c r="B9" t="str">
        <x:v>รันแล้ว 12 รายการ ผ่าน 12 ไม่พบ Fail/Error (30 ก.ย. 2569)</x:v>
      </x:c>
    </x:row>
    <x:row r="11" ht="34" customHeight="1">
      <x:c r="A11" s="37" t="str">
        <x:v>ขั้นตอน</x:v>
      </x:c>
      <x:c r="B11" s="37" t="str">
        <x:v>รายละเอียด</x:v>
      </x:c>
      <x:c r="C11" s="37" t="str">
        <x:v>ข้อมูลทดสอบ</x:v>
      </x:c>
      <x:c r="D11" s="37" t="str">
        <x:v>เงื่อนไข</x:v>
      </x:c>
      <x:c r="E11" s="37" t="str">
        <x:v>ผลที่คาดหวัง</x:v>
      </x:c>
    </x:row>
    <x:row r="12" ht="48" customHeight="1">
      <x:c r="A12" s="20" t="n">
        <x:v>1</x:v>
      </x:c>
      <x:c r="B12" s="20" t="str">
        <x:v>เตรียมข้อมูลสำหรับกรณีทดสอบ</x:v>
      </x:c>
      <x:c r="C12" s="20" t="str">
        <x:v>ข้อมูลตาม Test Case</x:v>
      </x:c>
      <x:c r="D12" s="20" t="str">
        <x:v>จำลอง Repository / Encoder ตามกรณี</x:v>
      </x:c>
      <x:c r="E12" s="20" t="str">
        <x:v>มีข้อมูลพร้อมสำหรับทดสอบ</x:v>
      </x:c>
    </x:row>
    <x:row r="13" ht="48" customHeight="1">
      <x:c r="A13" s="20" t="n">
        <x:v>2</x:v>
      </x:c>
      <x:c r="B13" s="20" t="str">
        <x:v>เรียกใช้ AuthService.register()</x:v>
      </x:c>
      <x:c r="C13" s="20" t="str">
        <x:v>ข้อมูลถูกต้องหรือไม่ถูกต้อง</x:v>
      </x:c>
      <x:c r="D13" s="20" t="str">
        <x:v>ใช้เงื่อนไขที่ระบุในแต่ละ Test Case</x:v>
      </x:c>
      <x:c r="E13" s="20" t="str">
        <x:v>ได้ค่าที่ส่งกลับหรือข้อความข้อผิดพลาดตามกรณี</x:v>
      </x:c>
    </x:row>
    <x:row r="14" ht="48" customHeight="1">
      <x:c r="A14" s="20" t="n">
        <x:v>3</x:v>
      </x:c>
      <x:c r="B14" s="20" t="str">
        <x:v>ตรวจค่าที่คืนและการเรียกใช้ส่วนอื่น</x:v>
      </x:c>
      <x:c r="C14" s="20" t="str">
        <x:v>ผลลัพธ์ / Exception</x:v>
      </x:c>
      <x:c r="D14" s="20" t="str">
        <x:v>ตรวจด้วย assert และ verify</x:v>
      </x:c>
      <x:c r="E14" s="20" t="str">
        <x:v>ตรงกับ Expected Result</x:v>
      </x:c>
    </x:row>
    <x:row r="15" ht="48" customHeight="1">
      <x:c r="A15" s="20" t="n">
        <x:v>4</x:v>
      </x:c>
      <x:c r="B15" s="20" t="str">
        <x:v>บันทึกผลหลังรัน</x:v>
      </x:c>
      <x:c r="C15" s="20" t="str">
        <x:v>JUnit 5 + Mockito</x:v>
      </x:c>
      <x:c r="D15" s="20" t="str">
        <x:v>รันด้วย Maven Wrapper</x:v>
      </x:c>
      <x:c r="E15" s="20" t="str">
        <x:v>กรอก Actual Result, Status และหลักฐาน</x:v>
      </x:c>
    </x:row>
    <x:row r="18" ht="27" customHeight="1">
      <x:c r="A18" s="39" t="str">
        <x:v>ข้อมูลทดสอบ</x:v>
      </x:c>
      <x:c r="B18" s="39" t="str">
        <x:v>รายละเอียด</x:v>
      </x:c>
    </x:row>
    <x:row r="19" ht="32" customHeight="1">
      <x:c r="A19" t="str">
        <x:v>Valid email</x:v>
      </x:c>
      <x:c r="B19" t="str">
        <x:v>student@kku.ac.th</x:v>
      </x:c>
    </x:row>
    <x:row r="20" ht="32" customHeight="1">
      <x:c r="A20" t="str">
        <x:v>ความยาวรหัสผ่าน</x:v>
      </x:c>
      <x:c r="B20" t="str">
        <x:v>ทดสอบ 7 ตัว (ไม่ผ่าน) และ 8 ตัว (ผ่าน)</x:v>
      </x:c>
    </x:row>
    <x:row r="21" ht="32" customHeight="1">
      <x:c r="A21" t="str">
        <x:v>Output/Exceptions</x:v>
      </x:c>
      <x:c r="B21" t="str">
        <x:v>กำหนดตามกรณีในแผ่น Test Case Design &amp; Test Results</x:v>
      </x:c>
    </x:row>
  </x:sheetData>
  <x:mergeCells>
    <x:mergeCell ref="A1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36" hidden="0" customWidth="1"/>
    <x:col min="3" max="3" width="36" hidden="0" customWidth="1"/>
    <x:col min="4" max="4" width="37" hidden="0" customWidth="1"/>
    <x:col min="5" max="5" width="50" hidden="0" customWidth="1"/>
    <x:col min="6" max="6" width="12" hidden="0" customWidth="1"/>
  </x:cols>
  <x:sheetData>
    <x:row r="1" ht="33" customHeight="1">
      <x:c r="A1" s="34" t="str">
        <x:v>TS002  การเข้าสู่ระบบ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</x:row>
    <x:row r="4" ht="24" customHeight="1">
      <x:c r="A4" s="41" t="str">
        <x:v>Scenario ID</x:v>
      </x:c>
      <x:c r="B4" t="str">
        <x:v>TS002</x:v>
      </x:c>
    </x:row>
    <x:row r="5" ht="24" customHeight="1">
      <x:c r="A5" s="41" t="str">
        <x:v>Use Case ID</x:v>
      </x:c>
      <x:c r="B5" t="str">
        <x:v>UC-AUTH-02</x:v>
      </x:c>
    </x:row>
    <x:row r="6" ht="24" customHeight="1">
      <x:c r="A6" s="41" t="str">
        <x:v>สถานการณ์ทดสอบ</x:v>
      </x:c>
      <x:c r="B6" t="str">
        <x:v>การเข้าสู่ระบบ</x:v>
      </x:c>
    </x:row>
    <x:row r="7" ht="24" customHeight="1">
      <x:c r="A7" s="41" t="str">
        <x:v>ส่วนที่ทดสอบ</x:v>
      </x:c>
      <x:c r="B7" t="str">
        <x:v>AuthService.login</x:v>
      </x:c>
    </x:row>
    <x:row r="8" ht="24" customHeight="1">
      <x:c r="A8" s="41" t="str">
        <x:v>รหัสกรณีทดสอบ</x:v>
      </x:c>
      <x:c r="B8" t="str">
        <x:v>LOGIN-001 ถึง LOGIN-011</x:v>
      </x:c>
    </x:row>
    <x:row r="9" ht="24" customHeight="1">
      <x:c r="A9" s="41" t="str">
        <x:v>ผลการทดสอบ</x:v>
      </x:c>
      <x:c r="B9" t="str">
        <x:v>รันแล้ว 11 รายการ ผ่าน 11 ไม่พบ Fail/Error (30 ก.ย. 2569)</x:v>
      </x:c>
    </x:row>
    <x:row r="11" ht="34" customHeight="1">
      <x:c r="A11" s="37" t="str">
        <x:v>ขั้นตอน</x:v>
      </x:c>
      <x:c r="B11" s="37" t="str">
        <x:v>รายละเอียด</x:v>
      </x:c>
      <x:c r="C11" s="37" t="str">
        <x:v>ข้อมูลทดสอบ</x:v>
      </x:c>
      <x:c r="D11" s="37" t="str">
        <x:v>เงื่อนไข</x:v>
      </x:c>
      <x:c r="E11" s="37" t="str">
        <x:v>ผลที่คาดหวัง</x:v>
      </x:c>
    </x:row>
    <x:row r="12" ht="48" customHeight="1">
      <x:c r="A12" s="20" t="n">
        <x:v>1</x:v>
      </x:c>
      <x:c r="B12" s="20" t="str">
        <x:v>เตรียมข้อมูลสำหรับกรณีทดสอบ</x:v>
      </x:c>
      <x:c r="C12" s="20" t="str">
        <x:v>ข้อมูลตาม Test Case</x:v>
      </x:c>
      <x:c r="D12" s="20" t="str">
        <x:v>จำลอง Repository / Encoder ตามกรณี</x:v>
      </x:c>
      <x:c r="E12" s="20" t="str">
        <x:v>มีข้อมูลพร้อมสำหรับทดสอบ</x:v>
      </x:c>
    </x:row>
    <x:row r="13" ht="48" customHeight="1">
      <x:c r="A13" s="20" t="n">
        <x:v>2</x:v>
      </x:c>
      <x:c r="B13" s="20" t="str">
        <x:v>เรียกใช้ AuthService.login()</x:v>
      </x:c>
      <x:c r="C13" s="20" t="str">
        <x:v>ข้อมูลถูกต้องหรือไม่ถูกต้อง</x:v>
      </x:c>
      <x:c r="D13" s="20" t="str">
        <x:v>ใช้เงื่อนไขที่ระบุในแต่ละ Test Case</x:v>
      </x:c>
      <x:c r="E13" s="20" t="str">
        <x:v>ได้ค่าที่ส่งกลับหรือข้อความข้อผิดพลาดตามกรณี</x:v>
      </x:c>
    </x:row>
    <x:row r="14" ht="48" customHeight="1">
      <x:c r="A14" s="20" t="n">
        <x:v>3</x:v>
      </x:c>
      <x:c r="B14" s="20" t="str">
        <x:v>ตรวจค่าที่คืนและการเรียกใช้ส่วนอื่น</x:v>
      </x:c>
      <x:c r="C14" s="20" t="str">
        <x:v>ผลลัพธ์ / Exception</x:v>
      </x:c>
      <x:c r="D14" s="20" t="str">
        <x:v>ตรวจด้วย assert และ verify</x:v>
      </x:c>
      <x:c r="E14" s="20" t="str">
        <x:v>ตรงกับ Expected Result</x:v>
      </x:c>
    </x:row>
    <x:row r="15" ht="48" customHeight="1">
      <x:c r="A15" s="20" t="n">
        <x:v>4</x:v>
      </x:c>
      <x:c r="B15" s="20" t="str">
        <x:v>บันทึกผลหลังรัน</x:v>
      </x:c>
      <x:c r="C15" s="20" t="str">
        <x:v>JUnit 5 + Mockito</x:v>
      </x:c>
      <x:c r="D15" s="20" t="str">
        <x:v>รันด้วย Maven Wrapper</x:v>
      </x:c>
      <x:c r="E15" s="20" t="str">
        <x:v>กรอก Actual Result, Status และหลักฐาน</x:v>
      </x:c>
    </x:row>
    <x:row r="18" ht="27" customHeight="1">
      <x:c r="A18" s="39" t="str">
        <x:v>ข้อมูลทดสอบ</x:v>
      </x:c>
      <x:c r="B18" s="39" t="str">
        <x:v>รายละเอียด</x:v>
      </x:c>
    </x:row>
    <x:row r="19" ht="32" customHeight="1">
      <x:c r="A19" t="str">
        <x:v>Valid email</x:v>
      </x:c>
      <x:c r="B19" t="str">
        <x:v>student@kku.ac.th</x:v>
      </x:c>
    </x:row>
    <x:row r="20" ht="32" customHeight="1">
      <x:c r="A20" t="str">
        <x:v>ข้อมูลที่ไม่ถูกต้อง</x:v>
      </x:c>
      <x:c r="B20" t="str">
        <x:v>อีเมล/รหัสผ่านว่าง, อีเมลไม่พบ, รหัสผ่านผิด, บัญชี BLOCKED</x:v>
      </x:c>
    </x:row>
    <x:row r="21" ht="32" customHeight="1">
      <x:c r="A21" t="str">
        <x:v>Output/Exceptions</x:v>
      </x:c>
      <x:c r="B21" t="str">
        <x:v>กำหนดตามกรณีในแผ่น Test Case Design &amp; Test Results</x:v>
      </x:c>
    </x:row>
  </x:sheetData>
  <x:mergeCells>
    <x:mergeCell ref="A1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24" hidden="0" customWidth="1"/>
    <x:col min="5" max="5" width="24" hidden="0" customWidth="1"/>
    <x:col min="6" max="6" width="47" hidden="0" customWidth="1"/>
    <x:col min="7" max="7" width="42" hidden="0" customWidth="1"/>
    <x:col min="8" max="8" width="51" hidden="0" customWidth="1"/>
    <x:col min="9" max="9" width="36" hidden="0" customWidth="1"/>
    <x:col min="10" max="10" width="15" hidden="0" customWidth="1"/>
    <x:col min="11" max="11" width="31" hidden="0" customWidth="1"/>
    <x:col min="12" max="12" width="56" hidden="0" customWidth="1"/>
    <x:col min="13" max="13" width="32" hidden="0" customWidth="1"/>
  </x:cols>
  <x:sheetData>
    <x:row r="1" ht="33" customHeight="1">
      <x:c r="A1" s="34" t="str">
        <x:v>รายการกรณีทดสอบและผลการทดสอบ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4" ht="34" customHeight="1">
      <x:c r="A4" s="37" t="str">
        <x:v>Use Case ID</x:v>
      </x:c>
      <x:c r="B4" s="37" t="str">
        <x:v>Scenario ID</x:v>
      </x:c>
      <x:c r="C4" s="37" t="str">
        <x:v>Test Case ID</x:v>
      </x:c>
      <x:c r="D4" s="37" t="str">
        <x:v>วิธีออกแบบ</x:v>
      </x:c>
      <x:c r="E4" s="37" t="str">
        <x:v>ส่วนที่ทดสอบ</x:v>
      </x:c>
      <x:c r="F4" s="37" t="str">
        <x:v>ข้อมูลทดสอบ</x:v>
      </x:c>
      <x:c r="G4" s="37" t="str">
        <x:v>เงื่อนไข / Mock</x:v>
      </x:c>
      <x:c r="H4" s="37" t="str">
        <x:v>ผลที่คาดหวัง</x:v>
      </x:c>
      <x:c r="I4" s="37" t="str">
        <x:v>ผลที่ได้จริง</x:v>
      </x:c>
      <x:c r="J4" s="37" t="str">
        <x:v>สถานะ</x:v>
      </x:c>
      <x:c r="K4" s="37" t="str">
        <x:v>ประเภทการทดสอบ</x:v>
      </x:c>
      <x:c r="L4" s="37" t="str">
        <x:v>JUnit method</x:v>
      </x:c>
      <x:c r="M4" s="37" t="str">
        <x:v>หมายเหตุ / Defect ID</x:v>
      </x:c>
    </x:row>
    <x:row r="5" ht="41" customHeight="1">
      <x:c r="A5" s="20" t="str">
        <x:v>UC-AUTH-01</x:v>
      </x:c>
      <x:c r="B5" s="20" t="str">
        <x:v>TS001</x:v>
      </x:c>
      <x:c r="C5" s="20" t="str">
        <x:v>REG-001</x:v>
      </x:c>
      <x:c r="D5" s="20" t="str">
        <x:v>EC: ข้อมูลถูกต้อง</x:v>
      </x:c>
      <x:c r="E5" s="20" t="str">
        <x:v>AuthService.register</x:v>
      </x:c>
      <x:c r="F5" s="20" t="str">
        <x:v>email=student@kku.ac.th; password=password123; กรอกชื่อและนามสกุล</x:v>
      </x:c>
      <x:c r="G5" s="20" t="str">
        <x:v>อีเมลยังไม่ซ้ำ; mock เข้ารหัสและบันทึกผู้ใช้</x:v>
      </x:c>
      <x:c r="H5" s="20" t="str">
        <x:v>สมัครสำเร็จ ได้ข้อมูลผู้ใช้กลับมา และบันทึกผู้ใช้ 1 ครั้ง</x:v>
      </x:c>
      <x:c r="I5" s="42" t="str">
        <x:v>ผ่านตามผลที่คาดหวัง โดย JUnit ยืนยันผลของกรณีนี้</x:v>
      </x:c>
      <x:c r="J5" s="42" t="str">
        <x:v>Pass</x:v>
      </x:c>
      <x:c r="K5" s="20" t="str">
        <x:v>Unit test (JUnit 5 / Mockito)</x:v>
      </x:c>
      <x:c r="L5" s="20" t="str">
        <x:v>AuthServiceRegisterTest.register_validData_savesUser</x:v>
      </x:c>
      <x:c r="M5" s="20" t="str">
        <x:v>รัน 30 ก.ย. 2569 (ชุดรวม 14:14 น.); ดู Surefire report</x:v>
      </x:c>
    </x:row>
    <x:row r="6" ht="41" customHeight="1">
      <x:c r="A6" s="20" t="str">
        <x:v>UC-AUTH-01</x:v>
      </x:c>
      <x:c r="B6" s="20" t="str">
        <x:v>TS001</x:v>
      </x:c>
      <x:c r="C6" s="20" t="str">
        <x:v>REG-002</x:v>
      </x:c>
      <x:c r="D6" s="20" t="str">
        <x:v>EC: ข้อมูลไม่ถูกต้อง</x:v>
      </x:c>
      <x:c r="E6" s="20" t="str">
        <x:v>AuthService.register</x:v>
      </x:c>
      <x:c r="F6" s="20" t="str">
        <x:v>ไม่ส่ง RegisterRequest (null)</x:v>
      </x:c>
      <x:c r="G6" s="20" t="str">
        <x:v>ไม่ต้องตั้งค่าผลลัพธ์ของ mock</x:v>
      </x:c>
      <x:c r="H6" s="20" t="str">
        <x:v>แจ้ง 'Registration request is required'</x:v>
      </x:c>
      <x:c r="I6" s="42" t="str">
        <x:v>ผ่านตามผลที่คาดหวัง โดย JUnit ยืนยันผลของกรณีนี้</x:v>
      </x:c>
      <x:c r="J6" s="42" t="str">
        <x:v>Pass</x:v>
      </x:c>
      <x:c r="K6" s="20" t="str">
        <x:v>Unit test (JUnit 5 / Mockito)</x:v>
      </x:c>
      <x:c r="L6" s="20" t="str">
        <x:v>AuthServiceRegisterTest.register_nullRequest_throwsRequiredRequest</x:v>
      </x:c>
      <x:c r="M6" s="20" t="str">
        <x:v>รัน 30 ก.ย. 2569 (ชุดรวม 14:14 น.); ดู Surefire report</x:v>
      </x:c>
    </x:row>
    <x:row r="7" ht="41" customHeight="1">
      <x:c r="A7" s="20" t="str">
        <x:v>UC-AUTH-01</x:v>
      </x:c>
      <x:c r="B7" s="20" t="str">
        <x:v>TS001</x:v>
      </x:c>
      <x:c r="C7" s="20" t="str">
        <x:v>REG-003</x:v>
      </x:c>
      <x:c r="D7" s="20" t="str">
        <x:v>EC: ข้อมูลไม่ถูกต้อง</x:v>
      </x:c>
      <x:c r="E7" s="20" t="str">
        <x:v>AuthService.register</x:v>
      </x:c>
      <x:c r="F7" s="20" t="str">
        <x:v>email=null</x:v>
      </x:c>
      <x:c r="G7" s="20" t="str">
        <x:v>ไม่ต้องตั้งค่าผลลัพธ์ของ mock</x:v>
      </x:c>
      <x:c r="H7" s="20" t="str">
        <x:v>แจ้ง 'Email is required'</x:v>
      </x:c>
      <x:c r="I7" s="42" t="str">
        <x:v>ผ่านตามผลที่คาดหวัง โดย JUnit ยืนยันผลของกรณีนี้</x:v>
      </x:c>
      <x:c r="J7" s="42" t="str">
        <x:v>Pass</x:v>
      </x:c>
      <x:c r="K7" s="20" t="str">
        <x:v>Unit test (JUnit 5 / Mockito)</x:v>
      </x:c>
      <x:c r="L7" s="20" t="str">
        <x:v>AuthServiceRegisterTest.register_nullEmail_throwsRequiredEmail</x:v>
      </x:c>
      <x:c r="M7" s="20" t="str">
        <x:v>รัน 30 ก.ย. 2569 (ชุดรวม 14:14 น.); ดู Surefire report</x:v>
      </x:c>
    </x:row>
    <x:row r="8" ht="41" customHeight="1">
      <x:c r="A8" s="20" t="str">
        <x:v>UC-AUTH-01</x:v>
      </x:c>
      <x:c r="B8" s="20" t="str">
        <x:v>TS001</x:v>
      </x:c>
      <x:c r="C8" s="20" t="str">
        <x:v>REG-004</x:v>
      </x:c>
      <x:c r="D8" s="20" t="str">
        <x:v>EC: ข้อมูลไม่ถูกต้อง</x:v>
      </x:c>
      <x:c r="E8" s="20" t="str">
        <x:v>AuthService.register</x:v>
      </x:c>
      <x:c r="F8" s="20" t="str">
        <x:v>email เป็นช่องว่าง 3 ตัว</x:v>
      </x:c>
      <x:c r="G8" s="20" t="str">
        <x:v>ไม่ต้องตั้งค่าผลลัพธ์ของ mock</x:v>
      </x:c>
      <x:c r="H8" s="20" t="str">
        <x:v>แจ้ง 'Email is required'</x:v>
      </x:c>
      <x:c r="I8" s="42" t="str">
        <x:v>ผ่านตามผลที่คาดหวัง โดย JUnit ยืนยันผลของกรณีนี้</x:v>
      </x:c>
      <x:c r="J8" s="42" t="str">
        <x:v>Pass</x:v>
      </x:c>
      <x:c r="K8" s="20" t="str">
        <x:v>Unit test (JUnit 5 / Mockito)</x:v>
      </x:c>
      <x:c r="L8" s="20" t="str">
        <x:v>AuthServiceRegisterTest.register_blankEmail_throwsRequiredEmail</x:v>
      </x:c>
      <x:c r="M8" s="20" t="str">
        <x:v>รัน 30 ก.ย. 2569 (ชุดรวม 14:14 น.); ดู Surefire report</x:v>
      </x:c>
    </x:row>
    <x:row r="9" ht="41" customHeight="1">
      <x:c r="A9" s="20" t="str">
        <x:v>UC-AUTH-01</x:v>
      </x:c>
      <x:c r="B9" s="20" t="str">
        <x:v>TS001</x:v>
      </x:c>
      <x:c r="C9" s="20" t="str">
        <x:v>REG-005</x:v>
      </x:c>
      <x:c r="D9" s="20" t="str">
        <x:v>EC: ข้อมูลไม่ถูกต้อง</x:v>
      </x:c>
      <x:c r="E9" s="20" t="str">
        <x:v>AuthService.register</x:v>
      </x:c>
      <x:c r="F9" s="20" t="str">
        <x:v>password=null</x:v>
      </x:c>
      <x:c r="G9" s="20" t="str">
        <x:v>ไม่ต้องตั้งค่าผลลัพธ์ของ mock</x:v>
      </x:c>
      <x:c r="H9" s="20" t="str">
        <x:v>แจ้ง 'Password is required'</x:v>
      </x:c>
      <x:c r="I9" s="42" t="str">
        <x:v>ผ่านตามผลที่คาดหวัง โดย JUnit ยืนยันผลของกรณีนี้</x:v>
      </x:c>
      <x:c r="J9" s="42" t="str">
        <x:v>Pass</x:v>
      </x:c>
      <x:c r="K9" s="20" t="str">
        <x:v>Unit test (JUnit 5 / Mockito)</x:v>
      </x:c>
      <x:c r="L9" s="20" t="str">
        <x:v>AuthServiceRegisterTest.register_nullPassword_throwsRequiredPassword</x:v>
      </x:c>
      <x:c r="M9" s="20" t="str">
        <x:v>รัน 30 ก.ย. 2569 (ชุดรวม 14:14 น.); ดู Surefire report</x:v>
      </x:c>
    </x:row>
    <x:row r="10" ht="41" customHeight="1">
      <x:c r="A10" s="20" t="str">
        <x:v>UC-AUTH-01</x:v>
      </x:c>
      <x:c r="B10" s="20" t="str">
        <x:v>TS001</x:v>
      </x:c>
      <x:c r="C10" s="20" t="str">
        <x:v>REG-006</x:v>
      </x:c>
      <x:c r="D10" s="20" t="str">
        <x:v>EC: ข้อมูลไม่ถูกต้อง</x:v>
      </x:c>
      <x:c r="E10" s="20" t="str">
        <x:v>AuthService.register</x:v>
      </x:c>
      <x:c r="F10" s="20" t="str">
        <x:v>password เป็นช่องว่าง 3 ตัว</x:v>
      </x:c>
      <x:c r="G10" s="20" t="str">
        <x:v>ไม่ต้องตั้งค่าผลลัพธ์ของ mock</x:v>
      </x:c>
      <x:c r="H10" s="20" t="str">
        <x:v>แจ้ง 'Password is required'</x:v>
      </x:c>
      <x:c r="I10" s="42" t="str">
        <x:v>ผ่านตามผลที่คาดหวัง โดย JUnit ยืนยันผลของกรณีนี้</x:v>
      </x:c>
      <x:c r="J10" s="42" t="str">
        <x:v>Pass</x:v>
      </x:c>
      <x:c r="K10" s="20" t="str">
        <x:v>Unit test (JUnit 5 / Mockito)</x:v>
      </x:c>
      <x:c r="L10" s="20" t="str">
        <x:v>AuthServiceRegisterTest.register_blankPassword_throwsRequiredPassword</x:v>
      </x:c>
      <x:c r="M10" s="20" t="str">
        <x:v>รัน 30 ก.ย. 2569 (ชุดรวม 14:14 น.); ดู Surefire report</x:v>
      </x:c>
    </x:row>
    <x:row r="11" ht="41" customHeight="1">
      <x:c r="A11" s="20" t="str">
        <x:v>UC-AUTH-01</x:v>
      </x:c>
      <x:c r="B11" s="20" t="str">
        <x:v>TS001</x:v>
      </x:c>
      <x:c r="C11" s="20" t="str">
        <x:v>REG-007</x:v>
      </x:c>
      <x:c r="D11" s="20" t="str">
        <x:v>BVA: ต่ำกว่าค่าต่ำสุด</x:v>
      </x:c>
      <x:c r="E11" s="20" t="str">
        <x:v>AuthService.register</x:v>
      </x:c>
      <x:c r="F11" s="20" t="str">
        <x:v>password=1234567 (7 ตัว)</x:v>
      </x:c>
      <x:c r="G11" s="20" t="str">
        <x:v>ไม่ต้องตั้งค่าผลลัพธ์ของ mock</x:v>
      </x:c>
      <x:c r="H11" s="20" t="str">
        <x:v>แจ้ง 'Password must be at least 8 characters'</x:v>
      </x:c>
      <x:c r="I11" s="42" t="str">
        <x:v>ผ่านตามผลที่คาดหวัง โดย JUnit ยืนยันผลของกรณีนี้</x:v>
      </x:c>
      <x:c r="J11" s="42" t="str">
        <x:v>Pass</x:v>
      </x:c>
      <x:c r="K11" s="20" t="str">
        <x:v>Unit test (JUnit 5 / Mockito)</x:v>
      </x:c>
      <x:c r="L11" s="20" t="str">
        <x:v>AuthServiceRegisterTest.register_sevenCharacterPassword_rejected</x:v>
      </x:c>
      <x:c r="M11" s="20" t="str">
        <x:v>รัน 30 ก.ย. 2569 (ชุดรวม 14:14 น.); ดู Surefire report</x:v>
      </x:c>
    </x:row>
    <x:row r="12" ht="41" customHeight="1">
      <x:c r="A12" s="20" t="str">
        <x:v>UC-AUTH-01</x:v>
      </x:c>
      <x:c r="B12" s="20" t="str">
        <x:v>TS001</x:v>
      </x:c>
      <x:c r="C12" s="20" t="str">
        <x:v>REG-008</x:v>
      </x:c>
      <x:c r="D12" s="20" t="str">
        <x:v>BVA: ค่าต่ำสุด</x:v>
      </x:c>
      <x:c r="E12" s="20" t="str">
        <x:v>AuthService.register</x:v>
      </x:c>
      <x:c r="F12" s="20" t="str">
        <x:v>password=12345678 (8 ตัว)</x:v>
      </x:c>
      <x:c r="G12" s="20" t="str">
        <x:v>อีเมลไม่ซ้ำ; mock เข้ารหัสและบันทึกผู้ใช้</x:v>
      </x:c>
      <x:c r="H12" s="20" t="str">
        <x:v>ยอมรับรหัสผ่านและบันทึกผู้ใช้ได้</x:v>
      </x:c>
      <x:c r="I12" s="42" t="str">
        <x:v>ผ่านตามผลที่คาดหวัง โดย JUnit ยืนยันผลของกรณีนี้</x:v>
      </x:c>
      <x:c r="J12" s="42" t="str">
        <x:v>Pass</x:v>
      </x:c>
      <x:c r="K12" s="20" t="str">
        <x:v>Unit test (JUnit 5 / Mockito)</x:v>
      </x:c>
      <x:c r="L12" s="20" t="str">
        <x:v>AuthServiceRegisterTest.register_eightCharacterPassword_accepted</x:v>
      </x:c>
      <x:c r="M12" s="20" t="str">
        <x:v>รัน 30 ก.ย. 2569 (ชุดรวม 14:14 น.); ดู Surefire report</x:v>
      </x:c>
    </x:row>
    <x:row r="13" ht="41" customHeight="1">
      <x:c r="A13" s="20" t="str">
        <x:v>UC-AUTH-01</x:v>
      </x:c>
      <x:c r="B13" s="20" t="str">
        <x:v>TS001</x:v>
      </x:c>
      <x:c r="C13" s="20" t="str">
        <x:v>REG-009</x:v>
      </x:c>
      <x:c r="D13" s="20" t="str">
        <x:v>EC: ข้อมูลไม่ถูกต้อง</x:v>
      </x:c>
      <x:c r="E13" s="20" t="str">
        <x:v>AuthService.register</x:v>
      </x:c>
      <x:c r="F13" s="20" t="str">
        <x:v>สมัครด้วยอีเมลที่มีอยู่แล้ว</x:v>
      </x:c>
      <x:c r="G13" s="20" t="str">
        <x:v>กำหนด existsByEmail เป็น true</x:v>
      </x:c>
      <x:c r="H13" s="20" t="str">
        <x:v>แจ้ง 'Email already exists' และไม่บันทึกผู้ใช้</x:v>
      </x:c>
      <x:c r="I13" s="42" t="str">
        <x:v>ผ่านตามผลที่คาดหวัง โดย JUnit ยืนยันผลของกรณีนี้</x:v>
      </x:c>
      <x:c r="J13" s="42" t="str">
        <x:v>Pass</x:v>
      </x:c>
      <x:c r="K13" s="20" t="str">
        <x:v>Unit test (JUnit 5 / Mockito)</x:v>
      </x:c>
      <x:c r="L13" s="20" t="str">
        <x:v>AuthServiceRegisterTest.register_duplicateEmail_rejectedWithoutSaving</x:v>
      </x:c>
      <x:c r="M13" s="20" t="str">
        <x:v>รัน 30 ก.ย. 2569 (ชุดรวม 14:14 น.); ดู Surefire report</x:v>
      </x:c>
    </x:row>
    <x:row r="14" ht="41" customHeight="1">
      <x:c r="A14" s="20" t="str">
        <x:v>UC-AUTH-01</x:v>
      </x:c>
      <x:c r="B14" s="20" t="str">
        <x:v>TS001</x:v>
      </x:c>
      <x:c r="C14" s="20" t="str">
        <x:v>REG-010</x:v>
      </x:c>
      <x:c r="D14" s="20" t="str">
        <x:v>EC: ข้อมูลถูกต้อง</x:v>
      </x:c>
      <x:c r="E14" s="20" t="str">
        <x:v>AuthService.register</x:v>
      </x:c>
      <x:c r="F14" s="20" t="str">
        <x:v>email='  STUDENT@KKU.AC.TH  '</x:v>
      </x:c>
      <x:c r="G14" s="20" t="str">
        <x:v>อีเมลไม่ซ้ำ; mock เข้ารหัสและบันทึกผู้ใช้</x:v>
      </x:c>
      <x:c r="H14" s="20" t="str">
        <x:v>ตัดช่องว่างและแปลงอีเมลเป็นตัวพิมพ์เล็กก่อนบันทึก</x:v>
      </x:c>
      <x:c r="I14" s="42" t="str">
        <x:v>ผ่านตามผลที่คาดหวัง โดย JUnit ยืนยันผลของกรณีนี้</x:v>
      </x:c>
      <x:c r="J14" s="42" t="str">
        <x:v>Pass</x:v>
      </x:c>
      <x:c r="K14" s="20" t="str">
        <x:v>Unit test (JUnit 5 / Mockito)</x:v>
      </x:c>
      <x:c r="L14" s="20" t="str">
        <x:v>AuthServiceRegisterTest.register_spacedUppercaseEmail_normalized</x:v>
      </x:c>
      <x:c r="M14" s="20" t="str">
        <x:v>รัน 30 ก.ย. 2569 (ชุดรวม 14:14 น.); ดู Surefire report</x:v>
      </x:c>
    </x:row>
    <x:row r="15" ht="41" customHeight="1">
      <x:c r="A15" s="20" t="str">
        <x:v>UC-AUTH-01</x:v>
      </x:c>
      <x:c r="B15" s="20" t="str">
        <x:v>TS001</x:v>
      </x:c>
      <x:c r="C15" s="20" t="str">
        <x:v>REG-011</x:v>
      </x:c>
      <x:c r="D15" s="20" t="str">
        <x:v>ตรวจตามโค้ด</x:v>
      </x:c>
      <x:c r="E15" s="20" t="str">
        <x:v>AuthService.register</x:v>
      </x:c>
      <x:c r="F15" s="20" t="str">
        <x:v>สมัครด้วยข้อมูลถูกต้อง</x:v>
      </x:c>
      <x:c r="G15" s="20" t="str">
        <x:v>mock การเข้ารหัสและบันทึกผู้ใช้</x:v>
      </x:c>
      <x:c r="H15" s="20" t="str">
        <x:v>เก็บรหัสผ่านที่เข้ารหัสแล้ว และกำหนดสถานะ ACTIVE</x:v>
      </x:c>
      <x:c r="I15" s="42" t="str">
        <x:v>ผ่านตามผลที่คาดหวัง โดย JUnit ยืนยันผลของกรณีนี้</x:v>
      </x:c>
      <x:c r="J15" s="42" t="str">
        <x:v>Pass</x:v>
      </x:c>
      <x:c r="K15" s="20" t="str">
        <x:v>Unit test (JUnit 5 / Mockito)</x:v>
      </x:c>
      <x:c r="L15" s="20" t="str">
        <x:v>AuthServiceRegisterTest.register_validData_encodesPasswordAndSetsActive</x:v>
      </x:c>
      <x:c r="M15" s="20" t="str">
        <x:v>รัน 30 ก.ย. 2569 (ชุดรวม 14:14 น.); ดู Surefire report</x:v>
      </x:c>
    </x:row>
    <x:row r="16" ht="41" customHeight="1">
      <x:c r="A16" s="20" t="str">
        <x:v>UC-AUTH-01</x:v>
      </x:c>
      <x:c r="B16" s="20" t="str">
        <x:v>TS001</x:v>
      </x:c>
      <x:c r="C16" s="20" t="str">
        <x:v>REG-012</x:v>
      </x:c>
      <x:c r="D16" s="20" t="str">
        <x:v>ตรวจตามโค้ด</x:v>
      </x:c>
      <x:c r="E16" s="20" t="str">
        <x:v>AuthService.register</x:v>
      </x:c>
      <x:c r="F16" s="20" t="str">
        <x:v>email เป็นสตริงว่าง</x:v>
      </x:c>
      <x:c r="G16" s="20" t="str">
        <x:v>ไม่ต้องตั้งค่าผลลัพธ์ของ mock</x:v>
      </x:c>
      <x:c r="H16" s="20" t="str">
        <x:v>ปฏิเสธข้อมูล และไม่เรียกใช้ Repository/Encoder</x:v>
      </x:c>
      <x:c r="I16" s="42" t="str">
        <x:v>ผ่านตามผลที่คาดหวัง โดย JUnit ยืนยันผลของกรณีนี้</x:v>
      </x:c>
      <x:c r="J16" s="42" t="str">
        <x:v>Pass</x:v>
      </x:c>
      <x:c r="K16" s="20" t="str">
        <x:v>Unit test (JUnit 5 / Mockito)</x:v>
      </x:c>
      <x:c r="L16" s="20" t="str">
        <x:v>AuthServiceRegisterTest.register_invalidEmail_doesNotAccessDependencies</x:v>
      </x:c>
      <x:c r="M16" s="20" t="str">
        <x:v>รัน 30 ก.ย. 2569 (ชุดรวม 14:14 น.); ดู Surefire report</x:v>
      </x:c>
    </x:row>
    <x:row r="17" ht="41" customHeight="1">
      <x:c r="A17" s="20" t="str">
        <x:v>UC-AUTH-02</x:v>
      </x:c>
      <x:c r="B17" s="20" t="str">
        <x:v>TS002</x:v>
      </x:c>
      <x:c r="C17" s="20" t="str">
        <x:v>LOGIN-001</x:v>
      </x:c>
      <x:c r="D17" s="20" t="str">
        <x:v>EC: ข้อมูลถูกต้อง</x:v>
      </x:c>
      <x:c r="E17" s="20" t="str">
        <x:v>AuthService.login</x:v>
      </x:c>
      <x:c r="F17" s="20" t="str">
        <x:v>อีเมลและรหัสผ่านถูกต้อง; บัญชี ACTIVE</x:v>
      </x:c>
      <x:c r="G17" s="20" t="str">
        <x:v>พบผู้ใช้และรหัสผ่านตรงกัน</x:v>
      </x:c>
      <x:c r="H17" s="20" t="str">
        <x:v>เข้าสู่ระบบสำเร็จและคืนข้อมูลผู้ใช้</x:v>
      </x:c>
      <x:c r="I17" s="42" t="str">
        <x:v>ผ่านตามผลที่คาดหวัง โดย JUnit ยืนยันผลของกรณีนี้</x:v>
      </x:c>
      <x:c r="J17" s="42" t="str">
        <x:v>Pass</x:v>
      </x:c>
      <x:c r="K17" s="20" t="str">
        <x:v>Unit test (JUnit 5 / Mockito)</x:v>
      </x:c>
      <x:c r="L17" s="20" t="str">
        <x:v>AuthServiceLoginTest.login_validCredentials_returnsUser</x:v>
      </x:c>
      <x:c r="M17" s="20" t="str">
        <x:v>รัน 30 ก.ย. 2569 (ชุดรวม 14:14 น.); ดู Surefire report</x:v>
      </x:c>
    </x:row>
    <x:row r="18" ht="41" customHeight="1">
      <x:c r="A18" s="20" t="str">
        <x:v>UC-AUTH-02</x:v>
      </x:c>
      <x:c r="B18" s="20" t="str">
        <x:v>TS002</x:v>
      </x:c>
      <x:c r="C18" s="20" t="str">
        <x:v>LOGIN-002</x:v>
      </x:c>
      <x:c r="D18" s="20" t="str">
        <x:v>EC: ข้อมูลไม่ถูกต้อง</x:v>
      </x:c>
      <x:c r="E18" s="20" t="str">
        <x:v>AuthService.login</x:v>
      </x:c>
      <x:c r="F18" s="20" t="str">
        <x:v>ไม่ส่ง LoginRequest (null)</x:v>
      </x:c>
      <x:c r="G18" s="20" t="str">
        <x:v>ไม่ต้องตั้งค่าผลลัพธ์ของ mock</x:v>
      </x:c>
      <x:c r="H18" s="20" t="str">
        <x:v>แจ้ง 'Login request is required'</x:v>
      </x:c>
      <x:c r="I18" s="42" t="str">
        <x:v>ผ่านตามผลที่คาดหวัง โดย JUnit ยืนยันผลของกรณีนี้</x:v>
      </x:c>
      <x:c r="J18" s="42" t="str">
        <x:v>Pass</x:v>
      </x:c>
      <x:c r="K18" s="20" t="str">
        <x:v>Unit test (JUnit 5 / Mockito)</x:v>
      </x:c>
      <x:c r="L18" s="20" t="str">
        <x:v>AuthServiceLoginTest.login_nullRequest_rejected</x:v>
      </x:c>
      <x:c r="M18" s="20" t="str">
        <x:v>รัน 30 ก.ย. 2569 (ชุดรวม 14:14 น.); ดู Surefire report</x:v>
      </x:c>
    </x:row>
    <x:row r="19" ht="41" customHeight="1">
      <x:c r="A19" s="20" t="str">
        <x:v>UC-AUTH-02</x:v>
      </x:c>
      <x:c r="B19" s="20" t="str">
        <x:v>TS002</x:v>
      </x:c>
      <x:c r="C19" s="20" t="str">
        <x:v>LOGIN-003</x:v>
      </x:c>
      <x:c r="D19" s="20" t="str">
        <x:v>EC: ข้อมูลไม่ถูกต้อง</x:v>
      </x:c>
      <x:c r="E19" s="20" t="str">
        <x:v>AuthService.login</x:v>
      </x:c>
      <x:c r="F19" s="20" t="str">
        <x:v>email=null</x:v>
      </x:c>
      <x:c r="G19" s="20" t="str">
        <x:v>ไม่ต้องตั้งค่าผลลัพธ์ของ mock</x:v>
      </x:c>
      <x:c r="H19" s="20" t="str">
        <x:v>แจ้ง 'Email is required'</x:v>
      </x:c>
      <x:c r="I19" s="42" t="str">
        <x:v>ผ่านตามผลที่คาดหวัง โดย JUnit ยืนยันผลของกรณีนี้</x:v>
      </x:c>
      <x:c r="J19" s="42" t="str">
        <x:v>Pass</x:v>
      </x:c>
      <x:c r="K19" s="20" t="str">
        <x:v>Unit test (JUnit 5 / Mockito)</x:v>
      </x:c>
      <x:c r="L19" s="20" t="str">
        <x:v>AuthServiceLoginTest.login_nullEmail_rejected</x:v>
      </x:c>
      <x:c r="M19" s="20" t="str">
        <x:v>รัน 30 ก.ย. 2569 (ชุดรวม 14:14 น.); ดู Surefire report</x:v>
      </x:c>
    </x:row>
    <x:row r="20" ht="41" customHeight="1">
      <x:c r="A20" s="20" t="str">
        <x:v>UC-AUTH-02</x:v>
      </x:c>
      <x:c r="B20" s="20" t="str">
        <x:v>TS002</x:v>
      </x:c>
      <x:c r="C20" s="20" t="str">
        <x:v>LOGIN-004</x:v>
      </x:c>
      <x:c r="D20" s="20" t="str">
        <x:v>EC: ข้อมูลไม่ถูกต้อง</x:v>
      </x:c>
      <x:c r="E20" s="20" t="str">
        <x:v>AuthService.login</x:v>
      </x:c>
      <x:c r="F20" s="20" t="str">
        <x:v>email เป็นช่องว่าง</x:v>
      </x:c>
      <x:c r="G20" s="20" t="str">
        <x:v>ไม่ต้องตั้งค่าผลลัพธ์ของ mock</x:v>
      </x:c>
      <x:c r="H20" s="20" t="str">
        <x:v>แจ้ง 'Email is required'</x:v>
      </x:c>
      <x:c r="I20" s="42" t="str">
        <x:v>ผ่านตามผลที่คาดหวัง โดย JUnit ยืนยันผลของกรณีนี้</x:v>
      </x:c>
      <x:c r="J20" s="42" t="str">
        <x:v>Pass</x:v>
      </x:c>
      <x:c r="K20" s="20" t="str">
        <x:v>Unit test (JUnit 5 / Mockito)</x:v>
      </x:c>
      <x:c r="L20" s="20" t="str">
        <x:v>AuthServiceLoginTest.login_blankEmail_rejected</x:v>
      </x:c>
      <x:c r="M20" s="20" t="str">
        <x:v>รัน 30 ก.ย. 2569 (ชุดรวม 14:14 น.); ดู Surefire report</x:v>
      </x:c>
    </x:row>
    <x:row r="21" ht="41" customHeight="1">
      <x:c r="A21" s="20" t="str">
        <x:v>UC-AUTH-02</x:v>
      </x:c>
      <x:c r="B21" s="20" t="str">
        <x:v>TS002</x:v>
      </x:c>
      <x:c r="C21" s="20" t="str">
        <x:v>LOGIN-005</x:v>
      </x:c>
      <x:c r="D21" s="20" t="str">
        <x:v>EC: ข้อมูลไม่ถูกต้อง</x:v>
      </x:c>
      <x:c r="E21" s="20" t="str">
        <x:v>AuthService.login</x:v>
      </x:c>
      <x:c r="F21" s="20" t="str">
        <x:v>password=null</x:v>
      </x:c>
      <x:c r="G21" s="20" t="str">
        <x:v>ไม่ต้องตั้งค่าผลลัพธ์ของ mock</x:v>
      </x:c>
      <x:c r="H21" s="20" t="str">
        <x:v>แจ้ง 'Password is required'</x:v>
      </x:c>
      <x:c r="I21" s="42" t="str">
        <x:v>ผ่านตามผลที่คาดหวัง โดย JUnit ยืนยันผลของกรณีนี้</x:v>
      </x:c>
      <x:c r="J21" s="42" t="str">
        <x:v>Pass</x:v>
      </x:c>
      <x:c r="K21" s="20" t="str">
        <x:v>Unit test (JUnit 5 / Mockito)</x:v>
      </x:c>
      <x:c r="L21" s="20" t="str">
        <x:v>AuthServiceLoginTest.login_nullPassword_rejected</x:v>
      </x:c>
      <x:c r="M21" s="20" t="str">
        <x:v>รัน 30 ก.ย. 2569 (ชุดรวม 14:14 น.); ดู Surefire report</x:v>
      </x:c>
    </x:row>
    <x:row r="22" ht="41" customHeight="1">
      <x:c r="A22" s="20" t="str">
        <x:v>UC-AUTH-02</x:v>
      </x:c>
      <x:c r="B22" s="20" t="str">
        <x:v>TS002</x:v>
      </x:c>
      <x:c r="C22" s="20" t="str">
        <x:v>LOGIN-006</x:v>
      </x:c>
      <x:c r="D22" s="20" t="str">
        <x:v>EC: ข้อมูลไม่ถูกต้อง</x:v>
      </x:c>
      <x:c r="E22" s="20" t="str">
        <x:v>AuthService.login</x:v>
      </x:c>
      <x:c r="F22" s="20" t="str">
        <x:v>password เป็นช่องว่าง</x:v>
      </x:c>
      <x:c r="G22" s="20" t="str">
        <x:v>ไม่ต้องตั้งค่าผลลัพธ์ของ mock</x:v>
      </x:c>
      <x:c r="H22" s="20" t="str">
        <x:v>แจ้ง 'Password is required'</x:v>
      </x:c>
      <x:c r="I22" s="42" t="str">
        <x:v>ผ่านตามผลที่คาดหวัง โดย JUnit ยืนยันผลของกรณีนี้</x:v>
      </x:c>
      <x:c r="J22" s="42" t="str">
        <x:v>Pass</x:v>
      </x:c>
      <x:c r="K22" s="20" t="str">
        <x:v>Unit test (JUnit 5 / Mockito)</x:v>
      </x:c>
      <x:c r="L22" s="20" t="str">
        <x:v>AuthServiceLoginTest.login_blankPassword_rejected</x:v>
      </x:c>
      <x:c r="M22" s="20" t="str">
        <x:v>รัน 30 ก.ย. 2569 (ชุดรวม 14:14 น.); ดู Surefire report</x:v>
      </x:c>
    </x:row>
    <x:row r="23" ht="41" customHeight="1">
      <x:c r="A23" s="20" t="str">
        <x:v>UC-AUTH-02</x:v>
      </x:c>
      <x:c r="B23" s="20" t="str">
        <x:v>TS002</x:v>
      </x:c>
      <x:c r="C23" s="20" t="str">
        <x:v>LOGIN-007</x:v>
      </x:c>
      <x:c r="D23" s="20" t="str">
        <x:v>EC: ข้อมูลไม่ถูกต้อง</x:v>
      </x:c>
      <x:c r="E23" s="20" t="str">
        <x:v>AuthService.login</x:v>
      </x:c>
      <x:c r="F23" s="20" t="str">
        <x:v>อีเมลที่ยังไม่มีในระบบ</x:v>
      </x:c>
      <x:c r="G23" s="20" t="str">
        <x:v>findByEmail ไม่พบผู้ใช้</x:v>
      </x:c>
      <x:c r="H23" s="20" t="str">
        <x:v>แจ้ง 'Invalid email or password'</x:v>
      </x:c>
      <x:c r="I23" s="42" t="str">
        <x:v>ผ่านตามผลที่คาดหวัง โดย JUnit ยืนยันผลของกรณีนี้</x:v>
      </x:c>
      <x:c r="J23" s="42" t="str">
        <x:v>Pass</x:v>
      </x:c>
      <x:c r="K23" s="20" t="str">
        <x:v>Unit test (JUnit 5 / Mockito)</x:v>
      </x:c>
      <x:c r="L23" s="20" t="str">
        <x:v>AuthServiceLoginTest.login_unknownEmail_rejected</x:v>
      </x:c>
      <x:c r="M23" s="20" t="str">
        <x:v>รัน 30 ก.ย. 2569 (ชุดรวม 14:14 น.); ดู Surefire report</x:v>
      </x:c>
    </x:row>
    <x:row r="24" ht="41" customHeight="1">
      <x:c r="A24" s="20" t="str">
        <x:v>UC-AUTH-02</x:v>
      </x:c>
      <x:c r="B24" s="20" t="str">
        <x:v>TS002</x:v>
      </x:c>
      <x:c r="C24" s="20" t="str">
        <x:v>LOGIN-008</x:v>
      </x:c>
      <x:c r="D24" s="20" t="str">
        <x:v>สถานะบัญชี / EC</x:v>
      </x:c>
      <x:c r="E24" s="20" t="str">
        <x:v>AuthService.login</x:v>
      </x:c>
      <x:c r="F24" s="20" t="str">
        <x:v>บัญชีมีสถานะ BLOCKED</x:v>
      </x:c>
      <x:c r="G24" s="20" t="str">
        <x:v>พบผู้ใช้ที่มีสถานะ BLOCKED</x:v>
      </x:c>
      <x:c r="H24" s="20" t="str">
        <x:v>แจ้ง 'User account is not active'</x:v>
      </x:c>
      <x:c r="I24" s="42" t="str">
        <x:v>ผ่านตามผลที่คาดหวัง โดย JUnit ยืนยันผลของกรณีนี้</x:v>
      </x:c>
      <x:c r="J24" s="42" t="str">
        <x:v>Pass</x:v>
      </x:c>
      <x:c r="K24" s="20" t="str">
        <x:v>Unit test (JUnit 5 / Mockito)</x:v>
      </x:c>
      <x:c r="L24" s="20" t="str">
        <x:v>AuthServiceLoginTest.login_blockedAccount_rejected</x:v>
      </x:c>
      <x:c r="M24" s="20" t="str">
        <x:v>รัน 30 ก.ย. 2569 (ชุดรวม 14:14 น.); ดู Surefire report</x:v>
      </x:c>
    </x:row>
    <x:row r="25" ht="41" customHeight="1">
      <x:c r="A25" s="20" t="str">
        <x:v>UC-AUTH-02</x:v>
      </x:c>
      <x:c r="B25" s="20" t="str">
        <x:v>TS002</x:v>
      </x:c>
      <x:c r="C25" s="20" t="str">
        <x:v>LOGIN-009</x:v>
      </x:c>
      <x:c r="D25" s="20" t="str">
        <x:v>EC: ข้อมูลไม่ถูกต้อง</x:v>
      </x:c>
      <x:c r="E25" s="20" t="str">
        <x:v>AuthService.login</x:v>
      </x:c>
      <x:c r="F25" s="20" t="str">
        <x:v>อีเมลถูกต้อง แต่รหัสผ่านผิด</x:v>
      </x:c>
      <x:c r="G25" s="20" t="str">
        <x:v>พบผู้ใช้ ACTIVE; matches คืน false</x:v>
      </x:c>
      <x:c r="H25" s="20" t="str">
        <x:v>แจ้ง 'Invalid email or password'</x:v>
      </x:c>
      <x:c r="I25" s="42" t="str">
        <x:v>ผ่านตามผลที่คาดหวัง โดย JUnit ยืนยันผลของกรณีนี้</x:v>
      </x:c>
      <x:c r="J25" s="42" t="str">
        <x:v>Pass</x:v>
      </x:c>
      <x:c r="K25" s="20" t="str">
        <x:v>Unit test (JUnit 5 / Mockito)</x:v>
      </x:c>
      <x:c r="L25" s="20" t="str">
        <x:v>AuthServiceLoginTest.login_wrongPassword_rejected</x:v>
      </x:c>
      <x:c r="M25" s="20" t="str">
        <x:v>รัน 30 ก.ย. 2569 (ชุดรวม 14:14 น.); ดู Surefire report</x:v>
      </x:c>
    </x:row>
    <x:row r="26" ht="41" customHeight="1">
      <x:c r="A26" s="20" t="str">
        <x:v>UC-AUTH-02</x:v>
      </x:c>
      <x:c r="B26" s="20" t="str">
        <x:v>TS002</x:v>
      </x:c>
      <x:c r="C26" s="20" t="str">
        <x:v>LOGIN-010</x:v>
      </x:c>
      <x:c r="D26" s="20" t="str">
        <x:v>EC: ข้อมูลถูกต้อง</x:v>
      </x:c>
      <x:c r="E26" s="20" t="str">
        <x:v>AuthService.login</x:v>
      </x:c>
      <x:c r="F26" s="20" t="str">
        <x:v>email='  STUDENT@KKU.AC.TH  '</x:v>
      </x:c>
      <x:c r="G26" s="20" t="str">
        <x:v>พบผู้ใช้ ACTIVE; matches คืน true</x:v>
      </x:c>
      <x:c r="H26" s="20" t="str">
        <x:v>ค้นหาด้วยอีเมลที่ตัดช่องว่างและเป็นพิมพ์เล็ก</x:v>
      </x:c>
      <x:c r="I26" s="42" t="str">
        <x:v>ผ่านตามผลที่คาดหวัง โดย JUnit ยืนยันผลของกรณีนี้</x:v>
      </x:c>
      <x:c r="J26" s="42" t="str">
        <x:v>Pass</x:v>
      </x:c>
      <x:c r="K26" s="20" t="str">
        <x:v>Unit test (JUnit 5 / Mockito)</x:v>
      </x:c>
      <x:c r="L26" s="20" t="str">
        <x:v>AuthServiceLoginTest.login_spacedUppercaseEmail_normalized</x:v>
      </x:c>
      <x:c r="M26" s="20" t="str">
        <x:v>รัน 30 ก.ย. 2569 (ชุดรวม 14:14 น.); ดู Surefire report</x:v>
      </x:c>
    </x:row>
    <x:row r="27" ht="41" customHeight="1">
      <x:c r="A27" s="20" t="str">
        <x:v>UC-AUTH-02</x:v>
      </x:c>
      <x:c r="B27" s="20" t="str">
        <x:v>TS002</x:v>
      </x:c>
      <x:c r="C27" s="20" t="str">
        <x:v>LOGIN-011</x:v>
      </x:c>
      <x:c r="D27" s="20" t="str">
        <x:v>ตรวจตามโค้ด</x:v>
      </x:c>
      <x:c r="E27" s="20" t="str">
        <x:v>AuthService.login</x:v>
      </x:c>
      <x:c r="F27" s="20" t="str">
        <x:v>บัญชี BLOCKED</x:v>
      </x:c>
      <x:c r="G27" s="20" t="str">
        <x:v>พบผู้ใช้ที่ถูกระงับ</x:v>
      </x:c>
      <x:c r="H27" s="20" t="str">
        <x:v>ปฏิเสธก่อนตรวจรหัสผ่าน (ไม่เรียก matches)</x:v>
      </x:c>
      <x:c r="I27" s="42" t="str">
        <x:v>ผ่านตามผลที่คาดหวัง โดย JUnit ยืนยันผลของกรณีนี้</x:v>
      </x:c>
      <x:c r="J27" s="42" t="str">
        <x:v>Pass</x:v>
      </x:c>
      <x:c r="K27" s="20" t="str">
        <x:v>Unit test (JUnit 5 / Mockito)</x:v>
      </x:c>
      <x:c r="L27" s="20" t="str">
        <x:v>AuthServiceLoginTest.login_blockedAccount_doesNotCheckPassword</x:v>
      </x:c>
      <x:c r="M27" s="20" t="str">
        <x:v>รัน 30 ก.ย. 2569 (ชุดรวม 14:14 น.); ดู Surefire report</x:v>
      </x:c>
    </x:row>
  </x:sheetData>
  <x:mergeCells>
    <x:mergeCell ref="A1:M2"/>
  </x:mergeCells>
  <x:conditionalFormatting sqref="J5:J250">
    <x:cfRule type="expression" dxfId="0" priority="1">
      <x:formula>J5="Pass"</x:formula>
    </x:cfRule>
    <x:cfRule type="expression" dxfId="1" priority="2">
      <x:formula>J5="Fail"</x:formula>
    </x:cfRule>
    <x:cfRule type="expression" dxfId="2" priority="3">
      <x:formula>J5="Block"</x:formula>
    </x:cfRule>
    <x:cfRule type="expression" dxfId="3" priority="4">
      <x:formula>J5="No run"</x:formula>
    </x:cfRule>
  </x:conditionalFormatting>
  <x:dataValidations count="1">
    <x:dataValidation type="list" sqref="J5:J250">
      <x:formula1>"No run,Pass,Fail,Block"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64" hidden="0" customWidth="1"/>
    <x:col min="3" max="3" width="17" hidden="0" customWidth="1"/>
    <x:col min="4" max="4" width="56" hidden="0" customWidth="1"/>
    <x:col min="5" max="5" width="61" hidden="0" customWidth="1"/>
    <x:col min="6" max="6" width="15" hidden="0" customWidth="1"/>
  </x:cols>
  <x:sheetData>
    <x:row r="1" ht="33" customHeight="1">
      <x:c r="A1" s="34" t="str">
        <x:v>ตารางเชื่อมโยงข้อกำหนดกับกรณีทดสอบ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</x:row>
    <x:row r="4" ht="34" customHeight="1">
      <x:c r="A4" s="37" t="str">
        <x:v>รหัสข้อกำหนด</x:v>
      </x:c>
      <x:c r="B4" s="37" t="str">
        <x:v>ข้อกำหนดที่นำมาทดสอบ</x:v>
      </x:c>
      <x:c r="C4" s="37" t="str">
        <x:v>Scenario ID</x:v>
      </x:c>
      <x:c r="D4" s="37" t="str">
        <x:v>Test Case ID</x:v>
      </x:c>
      <x:c r="E4" s="37" t="str">
        <x:v>ส่วนของโค้ดที่เกี่ยวข้อง</x:v>
      </x:c>
      <x:c r="F4" s="37" t="str">
        <x:v>สถานะ</x:v>
      </x:c>
    </x:row>
    <x:row r="5" ht="34" customHeight="1">
      <x:c r="A5" s="20" t="str">
        <x:v>REQ-REG-01</x:v>
      </x:c>
      <x:c r="B5" s="20" t="str">
        <x:v>Register: ต้องมี request, email, password</x:v>
      </x:c>
      <x:c r="C5" s="20" t="str">
        <x:v>TS001</x:v>
      </x:c>
      <x:c r="D5" s="20" t="str">
        <x:v>REG-002,REG-003,REG-004,REG-005,REG-006,REG-012</x:v>
      </x:c>
      <x:c r="E5" s="20" t="str">
        <x:v>AuthService.validateRegistration</x:v>
      </x:c>
      <x:c r="F5" s="20" t="str">
        <x:v>ทดสอบผ่าน (Unit)</x:v>
      </x:c>
    </x:row>
    <x:row r="6" ht="34" customHeight="1">
      <x:c r="A6" s="20" t="str">
        <x:v>REQ-REG-02</x:v>
      </x:c>
      <x:c r="B6" s="20" t="str">
        <x:v>Register: password ต้องยาวอย่างน้อย 8 ตัว</x:v>
      </x:c>
      <x:c r="C6" s="20" t="str">
        <x:v>TS001</x:v>
      </x:c>
      <x:c r="D6" s="20" t="str">
        <x:v>REG-007,REG-008</x:v>
      </x:c>
      <x:c r="E6" s="20" t="str">
        <x:v>AuthService.validateRegistration</x:v>
      </x:c>
      <x:c r="F6" s="20" t="str">
        <x:v>ทดสอบผ่าน (Unit)</x:v>
      </x:c>
    </x:row>
    <x:row r="7" ht="34" customHeight="1">
      <x:c r="A7" s="20" t="str">
        <x:v>REQ-REG-03</x:v>
      </x:c>
      <x:c r="B7" s="20" t="str">
        <x:v>Register: ป้องกันอีเมลซ้ำ</x:v>
      </x:c>
      <x:c r="C7" s="20" t="str">
        <x:v>TS001</x:v>
      </x:c>
      <x:c r="D7" s="20" t="str">
        <x:v>REG-009</x:v>
      </x:c>
      <x:c r="E7" s="20" t="str">
        <x:v>AuthService.register + UserRepository.existsByEmail</x:v>
      </x:c>
      <x:c r="F7" s="20" t="str">
        <x:v>ทดสอบผ่าน (Unit)</x:v>
      </x:c>
    </x:row>
    <x:row r="8" ht="34" customHeight="1">
      <x:c r="A8" s="20" t="str">
        <x:v>REQ-REG-04</x:v>
      </x:c>
      <x:c r="B8" s="20" t="str">
        <x:v>Register: email trim + lowercase ก่อนตรวจและบันทึก</x:v>
      </x:c>
      <x:c r="C8" s="20" t="str">
        <x:v>TS001</x:v>
      </x:c>
      <x:c r="D8" s="20" t="str">
        <x:v>REG-001,REG-010</x:v>
      </x:c>
      <x:c r="E8" s="20" t="str">
        <x:v>AuthService.register</x:v>
      </x:c>
      <x:c r="F8" s="20" t="str">
        <x:v>ทดสอบผ่าน (Unit)</x:v>
      </x:c>
    </x:row>
    <x:row r="9" ht="34" customHeight="1">
      <x:c r="A9" s="20" t="str">
        <x:v>REQ-REG-05</x:v>
      </x:c>
      <x:c r="B9" s="20" t="str">
        <x:v>Register: encode password, status ACTIVE และ save</x:v>
      </x:c>
      <x:c r="C9" s="20" t="str">
        <x:v>TS001</x:v>
      </x:c>
      <x:c r="D9" s="20" t="str">
        <x:v>REG-001,REG-011</x:v>
      </x:c>
      <x:c r="E9" s="20" t="str">
        <x:v>AuthService.register</x:v>
      </x:c>
      <x:c r="F9" s="20" t="str">
        <x:v>ทดสอบผ่าน (Unit)</x:v>
      </x:c>
    </x:row>
    <x:row r="10" ht="34" customHeight="1">
      <x:c r="A10" s="20" t="str">
        <x:v>REQ-LOGIN-01</x:v>
      </x:c>
      <x:c r="B10" s="20" t="str">
        <x:v>Login: request/email/password ต้องไม่เป็น null/blank</x:v>
      </x:c>
      <x:c r="C10" s="20" t="str">
        <x:v>TS002</x:v>
      </x:c>
      <x:c r="D10" s="20" t="str">
        <x:v>LOGIN-002..LOGIN-006</x:v>
      </x:c>
      <x:c r="E10" s="20" t="str">
        <x:v>AuthService.validateLogin</x:v>
      </x:c>
      <x:c r="F10" s="20" t="str">
        <x:v>ทดสอบผ่าน (Unit)</x:v>
      </x:c>
    </x:row>
    <x:row r="11" ht="34" customHeight="1">
      <x:c r="A11" s="20" t="str">
        <x:v>REQ-LOGIN-02</x:v>
      </x:c>
      <x:c r="B11" s="20" t="str">
        <x:v>Login: ถ้าไม่พบ user หรือ password ไม่ตรง ให้ปฏิเสธ</x:v>
      </x:c>
      <x:c r="C11" s="20" t="str">
        <x:v>TS002</x:v>
      </x:c>
      <x:c r="D11" s="20" t="str">
        <x:v>LOGIN-007,LOGIN-009</x:v>
      </x:c>
      <x:c r="E11" s="20" t="str">
        <x:v>AuthService.login</x:v>
      </x:c>
      <x:c r="F11" s="20" t="str">
        <x:v>ทดสอบผ่าน (Unit)</x:v>
      </x:c>
    </x:row>
    <x:row r="12" ht="34" customHeight="1">
      <x:c r="A12" s="20" t="str">
        <x:v>REQ-LOGIN-03</x:v>
      </x:c>
      <x:c r="B12" s="20" t="str">
        <x:v>Login: เฉพาะ ACTIVE จึงเข้าสู่ระบบได้</x:v>
      </x:c>
      <x:c r="C12" s="20" t="str">
        <x:v>TS002</x:v>
      </x:c>
      <x:c r="D12" s="20" t="str">
        <x:v>LOGIN-008,LOGIN-011</x:v>
      </x:c>
      <x:c r="E12" s="20" t="str">
        <x:v>AuthService.login</x:v>
      </x:c>
      <x:c r="F12" s="20" t="str">
        <x:v>ทดสอบผ่าน (Unit)</x:v>
      </x:c>
    </x:row>
    <x:row r="13" ht="34" customHeight="1">
      <x:c r="A13" s="20" t="str">
        <x:v>REQ-LOGIN-04</x:v>
      </x:c>
      <x:c r="B13" s="20" t="str">
        <x:v>Login: email trim+lowercase ก่อนค้นหา</x:v>
      </x:c>
      <x:c r="C13" s="20" t="str">
        <x:v>TS002</x:v>
      </x:c>
      <x:c r="D13" s="20" t="str">
        <x:v>LOGIN-001,LOGIN-010</x:v>
      </x:c>
      <x:c r="E13" s="20" t="str">
        <x:v>AuthService.login</x:v>
      </x:c>
      <x:c r="F13" s="20" t="str">
        <x:v>ทดสอบผ่าน (Unit)</x:v>
      </x:c>
    </x:row>
    <x:row r="16" ht="30" customHeight="1">
      <x:c r="A16" s="12" t="str">
        <x:v>ขอบเขต/ข้อจำกัด</x:v>
      </x:c>
      <x:c r="B16" s="12" t="str">
        <x:v>รายละเอียด</x:v>
      </x:c>
    </x:row>
    <x:row r="17" ht="43" customHeight="1">
      <x:c r="A17" s="18" t="str">
        <x:v>หมายเหตุ</x:v>
      </x:c>
      <x:c r="B17" s="18" t="str">
        <x:v>รหัส REQ และ UC ในตารางเป็นรหัสอ้างอิงภายในเอกสารทดสอบ</x:v>
      </x:c>
    </x:row>
  </x:sheetData>
  <x:mergeCells>
    <x:mergeCell ref="A1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20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 ht="34" customHeight="1">
      <x:c r="A1" s="60" t="str">
        <x:v>สรุปผลการทดสอบ CPFriendFinder</x:v>
      </x:c>
      <x:c r="B1" s="61"/>
      <x:c r="C1" s="61"/>
      <x:c r="D1" s="61"/>
      <x:c r="E1" s="61"/>
      <x:c r="F1" s="61"/>
      <x:c r="G1" s="34"/>
      <x:c r="H1" s="34"/>
      <x:c r="I1" s="34"/>
      <x:c r="J1" s="34"/>
      <x:c r="K1" s="34"/>
      <x:c r="L1" s="34"/>
      <x:c r="M1" s="34"/>
    </x:row>
    <x:row r="2" ht="25" customHeight="1">
      <x:c r="A2" s="84" t="str">
        <x:v>AuthService | 30 กันยายน 2569 เวลา 14:14 น.</x:v>
      </x:c>
      <x:c r="B2" s="85"/>
      <x:c r="C2" s="85"/>
      <x:c r="D2" s="85"/>
      <x:c r="E2" s="85"/>
      <x:c r="F2" s="85"/>
    </x:row>
    <x:row r="4" ht="26" customHeight="1">
      <x:c r="A4" s="44" t="str">
        <x:v>กรณีทดสอบ Register และ Login</x:v>
      </x:c>
      <x:c r="B4" s="44" t="str">
        <x:v>จำนวน</x:v>
      </x:c>
    </x:row>
    <x:row r="5" ht="28" customHeight="1">
      <x:c r="A5" s="20" t="str">
        <x:v>ออกแบบไว้</x:v>
      </x:c>
      <x:c r="B5" s="56" t="n">
        <x:f>COUNTA('Test Case Design &amp; Test Results'!$C$5:$C$250)</x:f>
        <x:v>23</x:v>
      </x:c>
    </x:row>
    <x:row r="6" ht="28" customHeight="1">
      <x:c r="A6" s="20" t="str">
        <x:v>รันทดสอบแล้ว</x:v>
      </x:c>
      <x:c r="B6" s="56" t="n">
        <x:f>COUNTIF('Test Case Design &amp; Test Results'!$J$5:$J$250,"Pass")+COUNTIF('Test Case Design &amp; Test Results'!$J$5:$J$250,"Fail")+COUNTIF('Test Case Design &amp; Test Results'!$J$5:$J$250,"Block")</x:f>
        <x:v>23</x:v>
      </x:c>
    </x:row>
    <x:row r="7" ht="28" customHeight="1">
      <x:c r="A7" s="20" t="str">
        <x:v>ผ่าน</x:v>
      </x:c>
      <x:c r="B7" s="56" t="n">
        <x:f>COUNTIF('Test Case Design &amp; Test Results'!$J$5:$J$250,"Pass")</x:f>
        <x:v>23</x:v>
      </x:c>
    </x:row>
    <x:row r="8" ht="28" customHeight="1">
      <x:c r="A8" s="20" t="str">
        <x:v>ไม่ผ่าน</x:v>
      </x:c>
      <x:c r="B8" s="56" t="n">
        <x:f>COUNTIF('Test Case Design &amp; Test Results'!$J$5:$J$250,"Fail")</x:f>
        <x:v>0</x:v>
      </x:c>
    </x:row>
    <x:row r="9" ht="28" customHeight="1">
      <x:c r="A9" s="20" t="str">
        <x:v>ทดสอบไม่ได้</x:v>
      </x:c>
      <x:c r="B9" s="56" t="n">
        <x:f>COUNTIF('Test Case Design &amp; Test Results'!$J$5:$J$250,"Block")</x:f>
        <x:v>0</x:v>
      </x:c>
    </x:row>
    <x:row r="10" ht="28" customHeight="1">
      <x:c r="A10" s="20" t="str">
        <x:v>ยังไม่รัน</x:v>
      </x:c>
      <x:c r="B10" s="56" t="n">
        <x:f>COUNTIF('Test Case Design &amp; Test Results'!$J$5:$J$250,"No run")</x:f>
        <x:v>0</x:v>
      </x:c>
    </x:row>
    <x:row r="11" ht="28" customHeight="1">
      <x:c r="A11" s="20"/>
      <x:c r="B11" s="20"/>
    </x:row>
    <x:row r="12" ht="28" customHeight="1">
      <x:c r="A12" s="59" t="str">
        <x:v>ผลการรัน Maven (ชุดรวม)</x:v>
      </x:c>
      <x:c r="B12" s="20"/>
      <x:c r="C12"/>
      <x:c r="D12"/>
      <x:c r="E12"/>
      <x:c r="F12"/>
    </x:row>
    <x:row r="13" ht="27" customHeight="1">
      <x:c r="A13" s="44" t="str">
        <x:v>ชุดทดสอบ</x:v>
      </x:c>
      <x:c r="B13" s="44" t="str">
        <x:v>รัน</x:v>
      </x:c>
      <x:c r="C13" s="49" t="str">
        <x:v>ผ่าน</x:v>
      </x:c>
      <x:c r="D13" s="49" t="str">
        <x:v>ไม่ผ่าน</x:v>
      </x:c>
      <x:c r="E13" s="49" t="str">
        <x:v>ข้อผิดพลาด</x:v>
      </x:c>
      <x:c r="F13" s="49" t="str">
        <x:v>ข้าม</x:v>
      </x:c>
    </x:row>
    <x:row r="14" ht="23" customHeight="1">
      <x:c r="A14" s="20" t="str">
        <x:v>FriendApplicationTests</x:v>
      </x:c>
      <x:c r="B14" s="56" t="n">
        <x:v>1</x:v>
      </x:c>
      <x:c r="C14" s="57" t="n">
        <x:v>1</x:v>
      </x:c>
      <x:c r="D14" s="57" t="n">
        <x:v>0</x:v>
      </x:c>
      <x:c r="E14" s="57" t="n">
        <x:v>0</x:v>
      </x:c>
      <x:c r="F14" s="57" t="n">
        <x:v>0</x:v>
      </x:c>
    </x:row>
    <x:row r="15" ht="23" customHeight="1">
      <x:c r="A15" s="20" t="str">
        <x:v>AuthServiceRegisterTest</x:v>
      </x:c>
      <x:c r="B15" s="56" t="n">
        <x:v>12</x:v>
      </x:c>
      <x:c r="C15" s="57" t="n">
        <x:v>12</x:v>
      </x:c>
      <x:c r="D15" s="57" t="n">
        <x:v>0</x:v>
      </x:c>
      <x:c r="E15" s="57" t="n">
        <x:v>0</x:v>
      </x:c>
      <x:c r="F15" s="57" t="n">
        <x:v>0</x:v>
      </x:c>
    </x:row>
    <x:row r="16" ht="23" customHeight="1">
      <x:c r="A16" s="20" t="str">
        <x:v>AuthServiceLoginTest</x:v>
      </x:c>
      <x:c r="B16" s="56" t="n">
        <x:v>11</x:v>
      </x:c>
      <x:c r="C16" s="57" t="n">
        <x:v>11</x:v>
      </x:c>
      <x:c r="D16" s="57" t="n">
        <x:v>0</x:v>
      </x:c>
      <x:c r="E16" s="57" t="n">
        <x:v>0</x:v>
      </x:c>
      <x:c r="F16" s="57" t="n">
        <x:v>0</x:v>
      </x:c>
    </x:row>
    <x:row r="17" ht="23" customHeight="1">
      <x:c r="A17" s="20" t="str">
        <x:v>AuthServiceTest</x:v>
      </x:c>
      <x:c r="B17" s="56" t="n">
        <x:v>1</x:v>
      </x:c>
      <x:c r="C17" s="57" t="n">
        <x:v>1</x:v>
      </x:c>
      <x:c r="D17" s="57" t="n">
        <x:v>0</x:v>
      </x:c>
      <x:c r="E17" s="57" t="n">
        <x:v>0</x:v>
      </x:c>
      <x:c r="F17" s="57" t="n">
        <x:v>0</x:v>
      </x:c>
    </x:row>
    <x:row r="18" ht="23" customHeight="1">
      <x:c r="A18" s="52" t="str">
        <x:v>รวม</x:v>
      </x:c>
      <x:c r="B18" s="52" t="n">
        <x:f>SUM(B14:B17)</x:f>
        <x:v>25</x:v>
      </x:c>
      <x:c r="C18" s="58" t="n">
        <x:f>SUM(C14:C17)</x:f>
        <x:v>25</x:v>
      </x:c>
      <x:c r="D18" s="58" t="n">
        <x:f>SUM(D14:D17)</x:f>
        <x:v>0</x:v>
      </x:c>
      <x:c r="E18" s="58" t="n">
        <x:f>SUM(E14:E17)</x:f>
        <x:v>0</x:v>
      </x:c>
      <x:c r="F18" s="58" t="n">
        <x:f>SUM(F14:F17)</x:f>
        <x:v>0</x:v>
      </x:c>
    </x:row>
    <x:row r="19" ht="26" customHeight="1">
      <x:c r="A19" s="20"/>
      <x:c r="B19" s="20"/>
      <x:c r="C19"/>
      <x:c r="D19"/>
      <x:c r="E19"/>
      <x:c r="F19"/>
    </x:row>
    <x:row r="20" ht="25" customHeight="1">
      <x:c r="A20" s="20" t="str">
        <x:v>ผลการรัน</x:v>
      </x:c>
      <x:c r="B20" s="20" t="str">
        <x:v>BUILD SUCCESS</x:v>
      </x:c>
      <x:c r="C20"/>
      <x:c r="D20"/>
      <x:c r="E20"/>
      <x:c r="F20"/>
    </x:row>
    <x:row r="21" ht="25" customHeight="1">
      <x:c r="A21" s="20" t="str">
        <x:v>ระยะเวลา</x:v>
      </x:c>
      <x:c r="B21" s="20" t="str">
        <x:v>1 นาที 34 วินาที</x:v>
      </x:c>
      <x:c r="C21"/>
      <x:c r="D21"/>
      <x:c r="E21"/>
      <x:c r="F21"/>
    </x:row>
    <x:row r="22" ht="25" customHeight="1">
      <x:c r="A22" s="20" t="str">
        <x:v>คำสั่ง</x:v>
      </x:c>
      <x:c r="B22" s="20" t="str">
        <x:v>./mvnw -Djava.version=21 clean test</x:v>
      </x:c>
      <x:c r="C22"/>
      <x:c r="D22"/>
      <x:c r="E22"/>
      <x:c r="F22"/>
    </x:row>
    <x:row r="23" ht="25" customHeight="1">
      <x:c r="A23" s="20"/>
      <x:c r="B23" s="20"/>
      <x:c r="C23"/>
      <x:c r="D23"/>
      <x:c r="E23"/>
      <x:c r="F23"/>
    </x:row>
    <x:row r="24" ht="30" customHeight="1">
      <x:c r="A24" s="86" t="str">
        <x:v>กรณีใน Excel</x:v>
      </x:c>
      <x:c r="B24" s="74" t="str">
        <x:v>Register 12 รายการ และ Login 11 รายการ รวม 23 รายการ</x:v>
      </x:c>
      <x:c r="C24" s="71"/>
      <x:c r="D24" s="71"/>
      <x:c r="E24" s="71"/>
      <x:c r="F24" s="71"/>
    </x:row>
    <x:row r="25" ht="30" customHeight="1">
      <x:c r="A25" s="87" t="str">
        <x:v>รายการเพิ่มเติม</x:v>
      </x:c>
      <x:c r="B25" s="88" t="str">
        <x:v>FriendApplicationTests และ AuthServiceTest อย่างละ 1 รายการ รวมผล Maven 25 รายการ</x:v>
      </x:c>
      <x:c r="C25" s="71"/>
      <x:c r="D25" s="71"/>
      <x:c r="E25" s="71"/>
      <x:c r="F25" s="71"/>
    </x:row>
  </x:sheetData>
  <x:mergeCells>
    <x:mergeCell ref="A1:F1"/>
    <x:mergeCell ref="A12:F12"/>
    <x:mergeCell ref="B20:F20"/>
    <x:mergeCell ref="B21:F21"/>
    <x:mergeCell ref="B22:F22"/>
    <x:mergeCell ref="B24:F24"/>
    <x:mergeCell ref="B25:F25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43" hidden="0" customWidth="1"/>
    <x:col min="3" max="3" width="44" hidden="0" customWidth="1"/>
    <x:col min="4" max="4" width="12" hidden="0" customWidth="1"/>
    <x:col min="5" max="5" width="12" hidden="0" customWidth="1"/>
    <x:col min="6" max="6" width="14" hidden="0" customWidth="1"/>
    <x:col min="7" max="7" width="24" hidden="0" customWidth="1"/>
    <x:col min="8" max="8" width="20" hidden="0" customWidth="1"/>
  </x:cols>
  <x:sheetData>
    <x:row r="1" ht="32" customHeight="1">
      <x:c r="A1" s="60" t="str">
        <x:v>ประวัติการรันทดสอบ</x:v>
      </x:c>
      <x:c r="B1" s="61"/>
      <x:c r="C1" s="61"/>
      <x:c r="D1" s="61"/>
      <x:c r="E1" s="61"/>
      <x:c r="F1" s="61"/>
      <x:c r="G1" s="61"/>
      <x:c r="H1" s="61"/>
      <x:c r="I1" s="34"/>
      <x:c r="J1" s="34"/>
      <x:c r="K1" s="34"/>
      <x:c r="L1" s="34"/>
      <x:c r="M1" s="34"/>
    </x:row>
    <x:row r="2" ht="36" customHeight="1">
      <x:c r="A2" s="4"/>
      <x:c r="B2" s="4"/>
      <x:c r="C2" s="4"/>
      <x:c r="D2" s="4"/>
      <x:c r="E2" s="4"/>
      <x:c r="F2" s="4"/>
      <x:c r="G2" s="4"/>
      <x:c r="H2" s="4"/>
    </x:row>
    <x:row r="4" ht="28" customHeight="1">
      <x:c r="A4" s="44" t="str">
        <x:v>รอบ</x:v>
      </x:c>
      <x:c r="B4" s="44" t="str">
        <x:v>วันและเวลา</x:v>
      </x:c>
      <x:c r="C4" s="44" t="str">
        <x:v>ชุดทดสอบ</x:v>
      </x:c>
      <x:c r="D4" s="44" t="str">
        <x:v>จำนวน</x:v>
      </x:c>
      <x:c r="E4" s="44" t="str">
        <x:v>ผ่าน</x:v>
      </x:c>
      <x:c r="F4" s="44" t="str">
        <x:v>ไม่ผ่าน</x:v>
      </x:c>
      <x:c r="G4" s="44" t="str">
        <x:v>Error / Skipped</x:v>
      </x:c>
      <x:c r="H4" s="44" t="str">
        <x:v>ผลการรัน</x:v>
      </x:c>
    </x:row>
    <x:row r="5" ht="29" customHeight="1">
      <x:c r="A5" s="20" t="str">
        <x:v>BASE-01</x:v>
      </x:c>
      <x:c r="B5" s="20" t="str">
        <x:v>30 ก.ย. 2569 13:06</x:v>
      </x:c>
      <x:c r="C5" s="20" t="str">
        <x:v>FriendApplicationTests.contextLoads</x:v>
      </x:c>
      <x:c r="D5" s="20" t="n">
        <x:v>1</x:v>
      </x:c>
      <x:c r="E5" s="20" t="n">
        <x:v>1</x:v>
      </x:c>
      <x:c r="F5" s="20" t="n">
        <x:v>0</x:v>
      </x:c>
      <x:c r="G5" s="20" t="str">
        <x:v>0 / 0</x:v>
      </x:c>
      <x:c r="H5" s="20" t="str">
        <x:v>BUILD SUCCESS</x:v>
      </x:c>
    </x:row>
    <x:row r="6" ht="29" customHeight="1">
      <x:c r="A6" s="18" t="str">
        <x:v>AUTH-01</x:v>
      </x:c>
      <x:c r="B6" s="18" t="str">
        <x:v>30 ก.ย. 2569 14:14</x:v>
      </x:c>
      <x:c r="C6" s="18" t="str">
        <x:v>JUnit ทุกชุด (รวม 4 คลาส)</x:v>
      </x:c>
      <x:c r="D6" s="18" t="n">
        <x:v>25</x:v>
      </x:c>
      <x:c r="E6" s="18" t="n">
        <x:v>25</x:v>
      </x:c>
      <x:c r="F6" s="18" t="n">
        <x:v>0</x:v>
      </x:c>
      <x:c r="G6" s="18" t="str">
        <x:v>0 / 0</x:v>
      </x:c>
      <x:c r="H6" s="18" t="str">
        <x:v>BUILD SUCCESS</x:v>
      </x:c>
    </x:row>
    <x:row r="7">
      <x:c r="A7" s="18"/>
      <x:c r="B7" s="18"/>
      <x:c r="C7" s="18"/>
      <x:c r="D7" s="18"/>
      <x:c r="E7" s="18"/>
      <x:c r="F7" s="18"/>
      <x:c r="G7" s="18"/>
      <x:c r="H7" s="18"/>
    </x:row>
    <x:row r="8" ht="27" customHeight="1">
      <x:c r="A8" s="64" t="str">
        <x:v>คำสั่ง</x:v>
      </x:c>
      <x:c r="B8" s="78" t="str">
        <x:v>./mvnw -Djava.version=21 clean test</x:v>
      </x:c>
      <x:c r="C8" s="18"/>
      <x:c r="D8" s="18"/>
      <x:c r="E8" s="18"/>
      <x:c r="F8" s="18"/>
      <x:c r="G8" s="18"/>
      <x:c r="H8" s="18"/>
    </x:row>
    <x:row r="9" ht="44" customHeight="1">
      <x:c r="A9" s="80" t="str">
        <x:v>หลักฐาน</x:v>
      </x:c>
      <x:c r="B9" s="79" t="str">
        <x:v>target/surefire-reports/ (ผลทดสอบที่ Maven สร้างในเครื่อง)</x:v>
      </x:c>
      <x:c r="C9" s="18"/>
      <x:c r="D9" s="18"/>
      <x:c r="E9" s="18"/>
      <x:c r="F9" s="18"/>
      <x:c r="G9" s="18"/>
      <x:c r="H9" s="18"/>
    </x:row>
  </x:sheetData>
  <x:mergeCells>
    <x:mergeCell ref="A1:H2"/>
    <x:mergeCell ref="A1:H1"/>
  </x:mergeCells>
  <x:pageMargins left="0.7" right="0.7" top="0.75" bottom="0.75" header="0.3" footer="0.3"/>
</x:worksheet>
</file>