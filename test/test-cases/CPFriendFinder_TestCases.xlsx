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322efe701445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ca98c80fc72742c0"/>
    <x:sheet xmlns:r="http://schemas.openxmlformats.org/officeDocument/2006/relationships" name="Requirements" sheetId="2" r:id="Rc26fca5991e146f4"/>
    <x:sheet xmlns:r="http://schemas.openxmlformats.org/officeDocument/2006/relationships" name="Test Case Design &amp; Test Results" sheetId="3" r:id="R8c2bd41287404de7"/>
    <x:sheet xmlns:r="http://schemas.openxmlformats.org/officeDocument/2006/relationships" name="TS001" sheetId="4" r:id="Rd3c45c9a17af4162"/>
    <x:sheet xmlns:r="http://schemas.openxmlformats.org/officeDocument/2006/relationships" name="TS002" sheetId="5" r:id="R05857e85b3ba4a61"/>
    <x:sheet xmlns:r="http://schemas.openxmlformats.org/officeDocument/2006/relationships" name="TS003" sheetId="6" r:id="R1012d9e90ad34129"/>
    <x:sheet xmlns:r="http://schemas.openxmlformats.org/officeDocument/2006/relationships" name="TS004" sheetId="7" r:id="Reac8d4c4773149fe"/>
    <x:sheet xmlns:r="http://schemas.openxmlformats.org/officeDocument/2006/relationships" name="TS005" sheetId="8" r:id="Rc921313e9bc74e30"/>
    <x:sheet xmlns:r="http://schemas.openxmlformats.org/officeDocument/2006/relationships" name="TS006" sheetId="9" r:id="R11dd260787cb4125"/>
    <x:sheet xmlns:r="http://schemas.openxmlformats.org/officeDocument/2006/relationships" name="Defect Summary" sheetId="10" r:id="Re1906e21dfc14123"/>
    <x:sheet xmlns:r="http://schemas.openxmlformats.org/officeDocument/2006/relationships" name="Test Summary Report" sheetId="11" r:id="R6fe6880f4a48488b"/>
    <x:sheet xmlns:r="http://schemas.openxmlformats.org/officeDocument/2006/relationships" name="Execution Log" sheetId="12" r:id="R500f0f5a476f4102"/>
    <x:sheet xmlns:r="http://schemas.openxmlformats.org/officeDocument/2006/relationships" name="Decision Table" sheetId="13" r:id="R9c42a0ddc46b4d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ddffa1407743cc" /><Relationship Type="http://schemas.openxmlformats.org/officeDocument/2006/relationships/theme" Target="/xl/theme/theme1.xml" Id="R71219b9a09ec476b" /><Relationship Type="http://schemas.openxmlformats.org/officeDocument/2006/relationships/sharedStrings" Target="/xl/sharedStrings.xml" Id="R96c3d9ea58f945e5" /><Relationship Type="http://schemas.openxmlformats.org/officeDocument/2006/relationships/worksheet" Target="/xl/worksheets/sheet1.xml" Id="Rca98c80fc72742c0" /><Relationship Type="http://schemas.openxmlformats.org/officeDocument/2006/relationships/worksheet" Target="/xl/worksheets/sheet2.xml" Id="Rc26fca5991e146f4" /><Relationship Type="http://schemas.openxmlformats.org/officeDocument/2006/relationships/worksheet" Target="/xl/worksheets/sheet3.xml" Id="R8c2bd41287404de7" /><Relationship Type="http://schemas.openxmlformats.org/officeDocument/2006/relationships/worksheet" Target="/xl/worksheets/sheet4.xml" Id="Rd3c45c9a17af4162" /><Relationship Type="http://schemas.openxmlformats.org/officeDocument/2006/relationships/worksheet" Target="/xl/worksheets/sheet5.xml" Id="R05857e85b3ba4a61" /><Relationship Type="http://schemas.openxmlformats.org/officeDocument/2006/relationships/worksheet" Target="/xl/worksheets/sheet6.xml" Id="R1012d9e90ad34129" /><Relationship Type="http://schemas.openxmlformats.org/officeDocument/2006/relationships/worksheet" Target="/xl/worksheets/sheet7.xml" Id="Reac8d4c4773149fe" /><Relationship Type="http://schemas.openxmlformats.org/officeDocument/2006/relationships/worksheet" Target="/xl/worksheets/sheet8.xml" Id="Rc921313e9bc74e30" /><Relationship Type="http://schemas.openxmlformats.org/officeDocument/2006/relationships/worksheet" Target="/xl/worksheets/sheet9.xml" Id="R11dd260787cb4125" /><Relationship Type="http://schemas.openxmlformats.org/officeDocument/2006/relationships/worksheet" Target="/xl/worksheets/sheet10.xml" Id="Re1906e21dfc14123" /><Relationship Type="http://schemas.openxmlformats.org/officeDocument/2006/relationships/worksheet" Target="/xl/worksheets/sheet11.xml" Id="R6fe6880f4a48488b" /><Relationship Type="http://schemas.openxmlformats.org/officeDocument/2006/relationships/worksheet" Target="/xl/worksheets/sheet12.xml" Id="R500f0f5a476f4102" /><Relationship Type="http://schemas.openxmlformats.org/officeDocument/2006/relationships/worksheet" Target="/xl/worksheets/sheet13.xml" Id="R9c42a0ddc46b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243" t="str">
        <x:v>สรุปสถานการณ์ทดสอบ</x:v>
      </x:c>
      <x:c r="B1" s="243"/>
      <x:c r="C1" s="243"/>
      <x:c r="D1" s="243"/>
      <x:c r="E1" s="243"/>
      <x:c r="F1" s="243"/>
      <x:c r="G1" s="243"/>
      <x:c r="H1" s="243"/>
      <x:c r="I1" s="243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สถานการณ์ทดสอบ</x:v>
      </x:c>
      <x:c r="D3" s="246" t="str">
        <x:v>จำนวนกรณี</x:v>
      </x:c>
      <x:c r="E3" s="246" t="str">
        <x:v>ผ่าน</x:v>
      </x:c>
      <x:c r="F3" s="246" t="str">
        <x:v>ไม่ผ่าน</x:v>
      </x:c>
      <x:c r="G3" s="246" t="str">
        <x:v>ยังไม่รัน</x:v>
      </x:c>
      <x:c r="H3" s="246" t="str">
        <x:v>ติดปัญหา</x:v>
      </x:c>
      <x:c r="I3" s="247" t="str">
        <x:v>ส่วนที่ทดสอบ</x:v>
      </x:c>
      <x:c r="J3" s="244"/>
      <x:c r="K3" s="244"/>
      <x:c r="L3" s="244"/>
      <x:c r="M3" s="244"/>
    </x:row>
    <x:row r="4" ht="15" hidden="0" customHeight="1">
      <x:c r="A4" s="248" t="str">
        <x:v>UC-AUTH-01</x:v>
      </x:c>
      <x:c r="B4" s="249" t="str">
        <x:v>TS001</x:v>
      </x:c>
      <x:c r="C4" s="250" t="str">
        <x:v>การสมัครสมาชิก</x:v>
      </x:c>
      <x:c r="D4" s="251" t="n">
        <x:f>COUNTIF('Test Case Design &amp; Test Results'!$B$4:$B$80,B4)</x:f>
        <x:v>13</x:v>
      </x:c>
      <x:c r="E4" s="252" t="n">
        <x:f>COUNTIFS('Test Case Design &amp; Test Results'!$B$4:$B$80,B4,'Test Case Design &amp; Test Results'!$J$4:$J$80,"Pass")</x:f>
        <x:v>13</x:v>
      </x:c>
      <x:c r="F4" s="252" t="n">
        <x:f>COUNTIFS('Test Case Design &amp; Test Results'!$B$4:$B$80,B4,'Test Case Design &amp; Test Results'!$J$4:$J$80,"Fail")</x:f>
        <x:v>0</x:v>
      </x:c>
      <x:c r="G4" s="252" t="n">
        <x:f>COUNTIFS('Test Case Design &amp; Test Results'!$B$4:$B$80,B4,'Test Case Design &amp; Test Results'!$J$4:$J$80,"Not Run")+COUNTIFS('Test Case Design &amp; Test Results'!$B$4:$B$80,B4,'Test Case Design &amp; Test Results'!$J$4:$J$80,"Waiting Frontend")</x:f>
        <x:v>0</x:v>
      </x:c>
      <x:c r="H4" s="253" t="n">
        <x:f>COUNTIFS('Test Case Design &amp; Test Results'!$B$4:$B$80,B4,'Test Case Design &amp; Test Results'!$J$4:$J$80,"Blocked")</x:f>
        <x:v>0</x:v>
      </x:c>
      <x:c r="I4" s="254" t="str">
        <x:v>AuthService.register</x:v>
      </x:c>
      <x:c r="J4" s="244"/>
      <x:c r="K4" s="244"/>
      <x:c r="L4" s="244"/>
      <x:c r="M4" s="244"/>
    </x:row>
    <x:row r="5" ht="15" hidden="0" customHeight="1">
      <x:c r="A5" s="255" t="str">
        <x:v>UC-AUTH-02</x:v>
      </x:c>
      <x:c r="B5" s="256" t="str">
        <x:v>TS002</x:v>
      </x:c>
      <x:c r="C5" s="257" t="str">
        <x:v>การเข้าสู่ระบบ</x:v>
      </x:c>
      <x:c r="D5" s="258" t="n">
        <x:f>COUNTIF('Test Case Design &amp; Test Results'!$B$4:$B$80,B5)</x:f>
        <x:v>11</x:v>
      </x:c>
      <x:c r="E5" s="259" t="n">
        <x:f>COUNTIFS('Test Case Design &amp; Test Results'!$B$4:$B$80,B5,'Test Case Design &amp; Test Results'!$J$4:$J$80,"Pass")</x:f>
        <x:v>11</x:v>
      </x:c>
      <x:c r="F5" s="259" t="n">
        <x:f>COUNTIFS('Test Case Design &amp; Test Results'!$B$4:$B$80,B5,'Test Case Design &amp; Test Results'!$J$4:$J$80,"Fail")</x:f>
        <x:v>0</x:v>
      </x:c>
      <x:c r="G5" s="259" t="n">
        <x:f>COUNTIFS('Test Case Design &amp; Test Results'!$B$4:$B$80,B5,'Test Case Design &amp; Test Results'!$J$4:$J$80,"Not Run")+COUNTIFS('Test Case Design &amp; Test Results'!$B$4:$B$80,B5,'Test Case Design &amp; Test Results'!$J$4:$J$80,"Waiting Frontend")</x:f>
        <x:v>0</x:v>
      </x:c>
      <x:c r="H5" s="260" t="n">
        <x:f>COUNTIFS('Test Case Design &amp; Test Results'!$B$4:$B$80,B5,'Test Case Design &amp; Test Results'!$J$4:$J$80,"Blocked")</x:f>
        <x:v>0</x:v>
      </x:c>
      <x:c r="I5" s="261" t="str">
        <x:v>AuthService.login</x:v>
      </x:c>
      <x:c r="J5" s="244"/>
      <x:c r="K5" s="244"/>
      <x:c r="L5" s="244"/>
      <x:c r="M5" s="244"/>
    </x:row>
    <x:row r="6" ht="15" hidden="0" customHeight="1">
      <x:c r="A6" s="255" t="str">
        <x:v>UC-AUTH-03</x:v>
      </x:c>
      <x:c r="B6" s="256" t="str">
        <x:v>TS003</x:v>
      </x:c>
      <x:c r="C6" s="257" t="str">
        <x:v>Authentication API</x:v>
      </x:c>
      <x:c r="D6" s="258" t="n">
        <x:f>COUNTIF('Test Case Design &amp; Test Results'!$B$4:$B$80,B6)</x:f>
        <x:v>8</x:v>
      </x:c>
      <x:c r="E6" s="259" t="n">
        <x:f>COUNTIFS('Test Case Design &amp; Test Results'!$B$4:$B$80,B6,'Test Case Design &amp; Test Results'!$J$4:$J$80,"Pass")</x:f>
        <x:v>8</x:v>
      </x:c>
      <x:c r="F6" s="259" t="n">
        <x:f>COUNTIFS('Test Case Design &amp; Test Results'!$B$4:$B$80,B6,'Test Case Design &amp; Test Results'!$J$4:$J$80,"Fail")</x:f>
        <x:v>0</x:v>
      </x:c>
      <x:c r="G6" s="259" t="n">
        <x:f>COUNTIFS('Test Case Design &amp; Test Results'!$B$4:$B$80,B6,'Test Case Design &amp; Test Results'!$J$4:$J$80,"Not Run")+COUNTIFS('Test Case Design &amp; Test Results'!$B$4:$B$80,B6,'Test Case Design &amp; Test Results'!$J$4:$J$80,"Waiting Frontend")</x:f>
        <x:v>0</x:v>
      </x:c>
      <x:c r="H6" s="260" t="n">
        <x:f>COUNTIFS('Test Case Design &amp; Test Results'!$B$4:$B$80,B6,'Test Case Design &amp; Test Results'!$J$4:$J$80,"Blocked")</x:f>
        <x:v>0</x:v>
      </x:c>
      <x:c r="I6" s="261" t="str">
        <x:v>AuthController</x:v>
      </x:c>
      <x:c r="J6" s="244"/>
      <x:c r="K6" s="244"/>
      <x:c r="L6" s="244"/>
      <x:c r="M6" s="244"/>
    </x:row>
    <x:row r="7" ht="15" hidden="0" customHeight="1">
      <x:c r="A7" s="255" t="str">
        <x:v>UC-AUTH-04</x:v>
      </x:c>
      <x:c r="B7" s="256" t="str">
        <x:v>TS004</x:v>
      </x:c>
      <x:c r="C7" s="257" t="str">
        <x:v>Spring Security</x:v>
      </x:c>
      <x:c r="D7" s="258" t="n">
        <x:f>COUNTIF('Test Case Design &amp; Test Results'!$B$4:$B$80,B7)</x:f>
        <x:v>7</x:v>
      </x:c>
      <x:c r="E7" s="259" t="n">
        <x:f>COUNTIFS('Test Case Design &amp; Test Results'!$B$4:$B$80,B7,'Test Case Design &amp; Test Results'!$J$4:$J$80,"Pass")</x:f>
        <x:v>0</x:v>
      </x:c>
      <x:c r="F7" s="259" t="n">
        <x:f>COUNTIFS('Test Case Design &amp; Test Results'!$B$4:$B$80,B7,'Test Case Design &amp; Test Results'!$J$4:$J$80,"Fail")</x:f>
        <x:v>0</x:v>
      </x:c>
      <x:c r="G7" s="259" t="n">
        <x:f>COUNTIFS('Test Case Design &amp; Test Results'!$B$4:$B$80,B7,'Test Case Design &amp; Test Results'!$J$4:$J$80,"Not Run")+COUNTIFS('Test Case Design &amp; Test Results'!$B$4:$B$80,B7,'Test Case Design &amp; Test Results'!$J$4:$J$80,"Waiting Frontend")</x:f>
        <x:v>7</x:v>
      </x:c>
      <x:c r="H7" s="260" t="n">
        <x:f>COUNTIFS('Test Case Design &amp; Test Results'!$B$4:$B$80,B7,'Test Case Design &amp; Test Results'!$J$4:$J$80,"Blocked")</x:f>
        <x:v>0</x:v>
      </x:c>
      <x:c r="I7" s="261" t="str">
        <x:v>SecurityConfig + AuthController/Page routes</x:v>
      </x:c>
      <x:c r="J7" s="244"/>
      <x:c r="K7" s="244"/>
      <x:c r="L7" s="244"/>
      <x:c r="M7" s="244"/>
    </x:row>
    <x:row r="8" ht="26.399999618530273" hidden="0" customHeight="1">
      <x:c r="A8" s="255" t="str">
        <x:v>UC-INT-01</x:v>
      </x:c>
      <x:c r="B8" s="256" t="str">
        <x:v>TS005</x:v>
      </x:c>
      <x:c r="C8" s="257" t="str">
        <x:v>Interest Service / API</x:v>
      </x:c>
      <x:c r="D8" s="258" t="n">
        <x:f>COUNTIF('Test Case Design &amp; Test Results'!$B$4:$B$80,B8)</x:f>
        <x:v>4</x:v>
      </x:c>
      <x:c r="E8" s="259" t="n">
        <x:f>COUNTIFS('Test Case Design &amp; Test Results'!$B$4:$B$80,B8,'Test Case Design &amp; Test Results'!$J$4:$J$80,"Pass")</x:f>
        <x:v>0</x:v>
      </x:c>
      <x:c r="F8" s="259" t="n">
        <x:f>COUNTIFS('Test Case Design &amp; Test Results'!$B$4:$B$80,B8,'Test Case Design &amp; Test Results'!$J$4:$J$80,"Fail")</x:f>
        <x:v>0</x:v>
      </x:c>
      <x:c r="G8" s="259" t="n">
        <x:f>COUNTIFS('Test Case Design &amp; Test Results'!$B$4:$B$80,B8,'Test Case Design &amp; Test Results'!$J$4:$J$80,"Not Run")+COUNTIFS('Test Case Design &amp; Test Results'!$B$4:$B$80,B8,'Test Case Design &amp; Test Results'!$J$4:$J$80,"Waiting Frontend")</x:f>
        <x:v>4</x:v>
      </x:c>
      <x:c r="H8" s="260" t="n">
        <x:f>COUNTIFS('Test Case Design &amp; Test Results'!$B$4:$B$80,B8,'Test Case Design &amp; Test Results'!$J$4:$J$80,"Blocked")</x:f>
        <x:v>0</x:v>
      </x:c>
      <x:c r="I8" s="261" t="str">
        <x:v>InterestService.allInterests + InterestController.apiInterestAll</x:v>
      </x:c>
      <x:c r="J8" s="244"/>
      <x:c r="K8" s="244"/>
      <x:c r="L8" s="244"/>
      <x:c r="M8" s="244"/>
    </x:row>
    <x:row r="9" ht="26.399999618530273" hidden="0" customHeight="1">
      <x:c r="A9" s="262" t="str">
        <x:v>UC-WEB-01</x:v>
      </x:c>
      <x:c r="B9" s="263" t="str">
        <x:v>TS006</x:v>
      </x:c>
      <x:c r="C9" s="264" t="str">
        <x:v>Web Flow / Static Resources</x:v>
      </x:c>
      <x:c r="D9" s="265" t="n">
        <x:f>COUNTIF('Test Case Design &amp; Test Results'!$B$4:$B$80,B9)</x:f>
        <x:v>5</x:v>
      </x:c>
      <x:c r="E9" s="266" t="n">
        <x:f>COUNTIFS('Test Case Design &amp; Test Results'!$B$4:$B$80,B9,'Test Case Design &amp; Test Results'!$J$4:$J$80,"Pass")</x:f>
        <x:v>0</x:v>
      </x:c>
      <x:c r="F9" s="266" t="n">
        <x:f>COUNTIFS('Test Case Design &amp; Test Results'!$B$4:$B$80,B9,'Test Case Design &amp; Test Results'!$J$4:$J$80,"Fail")</x:f>
        <x:v>0</x:v>
      </x:c>
      <x:c r="G9" s="266" t="n">
        <x:f>COUNTIFS('Test Case Design &amp; Test Results'!$B$4:$B$80,B9,'Test Case Design &amp; Test Results'!$J$4:$J$80,"Not Run")+COUNTIFS('Test Case Design &amp; Test Results'!$B$4:$B$80,B9,'Test Case Design &amp; Test Results'!$J$4:$J$80,"Waiting Frontend")</x:f>
        <x:v>5</x:v>
      </x:c>
      <x:c r="H9" s="267" t="n">
        <x:f>COUNTIFS('Test Case Design &amp; Test Results'!$B$4:$B$80,B9,'Test Case Design &amp; Test Results'!$J$4:$J$80,"Blocked")</x:f>
        <x:v>0</x:v>
      </x:c>
      <x:c r="I9" s="268" t="str">
        <x:v>PageController + Frontend resources + Authentication flow</x:v>
      </x:c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43" t="str">
        <x:v>Requirements / Behavior Traceability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Passed - unit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Passed - unit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Passed - unit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Passed - unit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Passed - MVC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Passed - MVC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Passed - MVC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Planned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Planned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Planned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Planned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Planned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 ht="15" hidden="0" customHeight="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 ht="15" hidden="0" customHeight="1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 ht="15" hidden="0" customHeight="1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 ht="15" hidden="0" customHeight="1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 ht="15" hidden="0" customHeight="1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 ht="15" hidden="0" customHeight="1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 ht="15" hidden="0" customHeight="1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 ht="15" hidden="0" customHeight="1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 ht="15" hidden="0" customHeight="1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 ht="15" hidden="0" customHeight="1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243" t="str">
        <x:v>Test Case Design &amp; Test Results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Test Case ID</x:v>
      </x:c>
      <x:c r="D3" s="246" t="str">
        <x:v>Test Design</x:v>
      </x:c>
      <x:c r="E3" s="246" t="str">
        <x:v>Component / Endpoint</x:v>
      </x:c>
      <x:c r="F3" s="246" t="str">
        <x:v>Test Input</x:v>
      </x:c>
      <x:c r="G3" s="246" t="str">
        <x:v>Mock / Condition</x:v>
      </x:c>
      <x:c r="H3" s="246" t="str">
        <x:v>Expected Result</x:v>
      </x:c>
      <x:c r="I3" s="246" t="str">
        <x:v>Actual Result</x:v>
      </x:c>
      <x:c r="J3" s="246" t="str">
        <x:v>Status</x:v>
      </x:c>
      <x:c r="K3" s="246" t="str">
        <x:v>Test Type</x:v>
      </x:c>
      <x:c r="L3" s="246" t="str">
        <x:v>JUnit Method</x:v>
      </x:c>
      <x:c r="M3" s="247" t="str">
        <x:v>Execution Reference</x:v>
      </x:c>
    </x:row>
    <x:row r="4" ht="26.399999618530273" hidden="0" customHeight="1">
      <x:c r="A4" s="269" t="str">
        <x:v>UC-AUTH-01</x:v>
      </x:c>
      <x:c r="B4" s="269" t="str">
        <x:v>TS001</x:v>
      </x:c>
      <x:c r="C4" s="269" t="str">
        <x:v>REG-001</x:v>
      </x:c>
      <x:c r="D4" s="254" t="str">
        <x:v>EC: ข้อมูลถูกต้อง</x:v>
      </x:c>
      <x:c r="E4" s="254" t="str">
        <x:v>AuthService.register</x:v>
      </x:c>
      <x:c r="F4" s="254" t="str">
        <x:v>email=student@kku.ac.th; password=password123; profile fields valid</x:v>
      </x:c>
      <x:c r="G4" s="254" t="str">
        <x:v>existsByEmail=false; encode() คืน hashedPassword; save() คืน User</x:v>
      </x:c>
      <x:c r="H4" s="254" t="str">
        <x:v>สมัครสำเร็จ บันทึก User 1 ครั้ง และคืน User</x:v>
      </x:c>
      <x:c r="I4" s="254" t="str">
        <x:v>ผ่านตาม Expected Result</x:v>
      </x:c>
      <x:c r="J4" s="269" t="str">
        <x:v>Pass</x:v>
      </x:c>
      <x:c r="K4" s="254" t="str">
        <x:v>Unit test (JUnit 5 / Mockito)</x:v>
      </x:c>
      <x:c r="L4" s="254" t="str">
        <x:v>AuthServiceRegisterTest.register_validData_savesUser</x:v>
      </x:c>
      <x:c r="M4" s="254" t="str">
        <x:v>2026-10-01 16:21:52 | 13/13 passed | BUILD SUCCESS</x:v>
      </x:c>
    </x:row>
    <x:row r="5" ht="26.399999618530273" hidden="0" customHeight="1">
      <x:c r="A5" s="270" t="str">
        <x:v>UC-AUTH-01</x:v>
      </x:c>
      <x:c r="B5" s="270" t="str">
        <x:v>TS001</x:v>
      </x:c>
      <x:c r="C5" s="270" t="str">
        <x:v>REG-002</x:v>
      </x:c>
      <x:c r="D5" s="261" t="str">
        <x:v>EC: ข้อมูลไม่ถูกต้อง</x:v>
      </x:c>
      <x:c r="E5" s="261" t="str">
        <x:v>AuthService.register</x:v>
      </x:c>
      <x:c r="F5" s="261" t="str">
        <x:v>request=null</x:v>
      </x:c>
      <x:c r="G5" s="261" t="str">
        <x:v>ไม่ต้องกำหนดผล mock</x:v>
      </x:c>
      <x:c r="H5" s="261" t="str">
        <x:v>แจ้ง Registration request is required</x:v>
      </x:c>
      <x:c r="I5" s="261" t="str">
        <x:v>ผ่านตาม Expected Result</x:v>
      </x:c>
      <x:c r="J5" s="270" t="str">
        <x:v>Pass</x:v>
      </x:c>
      <x:c r="K5" s="261" t="str">
        <x:v>Unit test (JUnit 5 / Mockito)</x:v>
      </x:c>
      <x:c r="L5" s="261" t="str">
        <x:v>AuthServiceRegisterTest.register_nullRequest_throwsRequiredRequest</x:v>
      </x:c>
      <x:c r="M5" s="261" t="str">
        <x:v>2026-10-01 16:21:52 | 13/13 passed | BUILD SUCCESS</x:v>
      </x:c>
    </x:row>
    <x:row r="6" ht="26.399999618530273" hidden="0" customHeight="1">
      <x:c r="A6" s="270" t="str">
        <x:v>UC-AUTH-01</x:v>
      </x:c>
      <x:c r="B6" s="270" t="str">
        <x:v>TS001</x:v>
      </x:c>
      <x:c r="C6" s="270" t="str">
        <x:v>REG-003</x:v>
      </x:c>
      <x:c r="D6" s="261" t="str">
        <x:v>EC: ข้อมูลไม่ถูกต้อง</x:v>
      </x:c>
      <x:c r="E6" s="261" t="str">
        <x:v>AuthService.register</x:v>
      </x:c>
      <x:c r="F6" s="261" t="str">
        <x:v>email=null</x:v>
      </x:c>
      <x:c r="G6" s="261" t="str">
        <x:v>ไม่ต้องกำหนดผล mock</x:v>
      </x:c>
      <x:c r="H6" s="261" t="str">
        <x:v>แจ้ง Email is required</x:v>
      </x:c>
      <x:c r="I6" s="261" t="str">
        <x:v>ผ่านตาม Expected Result</x:v>
      </x:c>
      <x:c r="J6" s="270" t="str">
        <x:v>Pass</x:v>
      </x:c>
      <x:c r="K6" s="261" t="str">
        <x:v>Unit test (JUnit 5 / Mockito)</x:v>
      </x:c>
      <x:c r="L6" s="261" t="str">
        <x:v>AuthServiceRegisterTest.register_nullEmail_throwsRequiredEmail</x:v>
      </x:c>
      <x:c r="M6" s="261" t="str">
        <x:v>2026-10-01 16:21:52 | 13/13 passed | BUILD SUCCESS</x:v>
      </x:c>
    </x:row>
    <x:row r="7" ht="26.399999618530273" hidden="0" customHeight="1">
      <x:c r="A7" s="270" t="str">
        <x:v>UC-AUTH-01</x:v>
      </x:c>
      <x:c r="B7" s="270" t="str">
        <x:v>TS001</x:v>
      </x:c>
      <x:c r="C7" s="270" t="str">
        <x:v>REG-004</x:v>
      </x:c>
      <x:c r="D7" s="261" t="str">
        <x:v>EC: ข้อมูลไม่ถูกต้อง</x:v>
      </x:c>
      <x:c r="E7" s="261" t="str">
        <x:v>AuthService.register</x:v>
      </x:c>
      <x:c r="F7" s="261" t="str">
        <x:v>email='   '</x:v>
      </x:c>
      <x:c r="G7" s="261" t="str">
        <x:v>ไม่ต้องกำหนดผล mock</x:v>
      </x:c>
      <x:c r="H7" s="261" t="str">
        <x:v>แจ้ง Email is required</x:v>
      </x:c>
      <x:c r="I7" s="261" t="str">
        <x:v>ผ่านตาม Expected Result</x:v>
      </x:c>
      <x:c r="J7" s="270" t="str">
        <x:v>Pass</x:v>
      </x:c>
      <x:c r="K7" s="261" t="str">
        <x:v>Unit test (JUnit 5 / Mockito)</x:v>
      </x:c>
      <x:c r="L7" s="261" t="str">
        <x:v>AuthServiceRegisterTest.register_blankEmail_throwsRequiredEmail</x:v>
      </x:c>
      <x:c r="M7" s="261" t="str">
        <x:v>2026-10-01 16:21:52 | 13/13 passed | BUILD SUCCESS</x:v>
      </x:c>
    </x:row>
    <x:row r="8" ht="26.399999618530273" hidden="0" customHeight="1">
      <x:c r="A8" s="270" t="str">
        <x:v>UC-AUTH-01</x:v>
      </x:c>
      <x:c r="B8" s="270" t="str">
        <x:v>TS001</x:v>
      </x:c>
      <x:c r="C8" s="270" t="str">
        <x:v>REG-005</x:v>
      </x:c>
      <x:c r="D8" s="261" t="str">
        <x:v>EC: ข้อมูลไม่ถูกต้อง</x:v>
      </x:c>
      <x:c r="E8" s="261" t="str">
        <x:v>AuthService.register</x:v>
      </x:c>
      <x:c r="F8" s="261" t="str">
        <x:v>password=null</x:v>
      </x:c>
      <x:c r="G8" s="261" t="str">
        <x:v>ไม่ต้องกำหนดผล mock</x:v>
      </x:c>
      <x:c r="H8" s="261" t="str">
        <x:v>แจ้ง Password is required</x:v>
      </x:c>
      <x:c r="I8" s="261" t="str">
        <x:v>ผ่านตาม Expected Result</x:v>
      </x:c>
      <x:c r="J8" s="270" t="str">
        <x:v>Pass</x:v>
      </x:c>
      <x:c r="K8" s="261" t="str">
        <x:v>Unit test (JUnit 5 / Mockito)</x:v>
      </x:c>
      <x:c r="L8" s="261" t="str">
        <x:v>AuthServiceRegisterTest.register_nullPassword_throwsRequiredPassword</x:v>
      </x:c>
      <x:c r="M8" s="261" t="str">
        <x:v>2026-10-01 16:21:52 | 13/13 passed | BUILD SUCCESS</x:v>
      </x:c>
    </x:row>
    <x:row r="9" ht="26.399999618530273" hidden="0" customHeight="1">
      <x:c r="A9" s="270" t="str">
        <x:v>UC-AUTH-01</x:v>
      </x:c>
      <x:c r="B9" s="270" t="str">
        <x:v>TS001</x:v>
      </x:c>
      <x:c r="C9" s="270" t="str">
        <x:v>REG-006</x:v>
      </x:c>
      <x:c r="D9" s="261" t="str">
        <x:v>EC: ข้อมูลไม่ถูกต้อง</x:v>
      </x:c>
      <x:c r="E9" s="261" t="str">
        <x:v>AuthService.register</x:v>
      </x:c>
      <x:c r="F9" s="261" t="str">
        <x:v>password='   '</x:v>
      </x:c>
      <x:c r="G9" s="261" t="str">
        <x:v>ไม่ต้องกำหนดผล mock</x:v>
      </x:c>
      <x:c r="H9" s="261" t="str">
        <x:v>แจ้ง Password is required</x:v>
      </x:c>
      <x:c r="I9" s="261" t="str">
        <x:v>ผ่านตาม Expected Result</x:v>
      </x:c>
      <x:c r="J9" s="270" t="str">
        <x:v>Pass</x:v>
      </x:c>
      <x:c r="K9" s="261" t="str">
        <x:v>Unit test (JUnit 5 / Mockito)</x:v>
      </x:c>
      <x:c r="L9" s="261" t="str">
        <x:v>AuthServiceRegisterTest.register_blankPassword_throwsRequiredPassword</x:v>
      </x:c>
      <x:c r="M9" s="261" t="str">
        <x:v>2026-10-01 16:21:52 | 13/13 passed | BUILD SUCCESS</x:v>
      </x:c>
    </x:row>
    <x:row r="10" ht="26.399999618530273" hidden="0" customHeight="1">
      <x:c r="A10" s="270" t="str">
        <x:v>UC-AUTH-01</x:v>
      </x:c>
      <x:c r="B10" s="270" t="str">
        <x:v>TS001</x:v>
      </x:c>
      <x:c r="C10" s="270" t="str">
        <x:v>REG-007</x:v>
      </x:c>
      <x:c r="D10" s="261" t="str">
        <x:v>BVA: ต่ำกว่าค่าต่ำสุด</x:v>
      </x:c>
      <x:c r="E10" s="261" t="str">
        <x:v>AuthService.register</x:v>
      </x:c>
      <x:c r="F10" s="261" t="str">
        <x:v>password=1234567 (7 ตัว)</x:v>
      </x:c>
      <x:c r="G10" s="261" t="str">
        <x:v>ไม่ต้องกำหนดผล mock</x:v>
      </x:c>
      <x:c r="H10" s="261" t="str">
        <x:v>แจ้ง Password must be at least 8 characters</x:v>
      </x:c>
      <x:c r="I10" s="261" t="str">
        <x:v>ผ่านตาม Expected Result</x:v>
      </x:c>
      <x:c r="J10" s="270" t="str">
        <x:v>Pass</x:v>
      </x:c>
      <x:c r="K10" s="261" t="str">
        <x:v>Unit test (JUnit 5 / Mockito)</x:v>
      </x:c>
      <x:c r="L10" s="261" t="str">
        <x:v>AuthServiceRegisterTest.register_sevenCharacterPassword_rejected</x:v>
      </x:c>
      <x:c r="M10" s="261" t="str">
        <x:v>2026-10-01 16:21:52 | 13/13 passed | BUILD SUCCESS</x:v>
      </x:c>
    </x:row>
    <x:row r="11" ht="26.399999618530273" hidden="0" customHeight="1">
      <x:c r="A11" s="270" t="str">
        <x:v>UC-AUTH-01</x:v>
      </x:c>
      <x:c r="B11" s="270" t="str">
        <x:v>TS001</x:v>
      </x:c>
      <x:c r="C11" s="270" t="str">
        <x:v>REG-008</x:v>
      </x:c>
      <x:c r="D11" s="261" t="str">
        <x:v>BVA: ค่าต่ำสุด</x:v>
      </x:c>
      <x:c r="E11" s="261" t="str">
        <x:v>AuthService.register</x:v>
      </x:c>
      <x:c r="F11" s="261" t="str">
        <x:v>password=12345678 (8 ตัว)</x:v>
      </x:c>
      <x:c r="G11" s="261" t="str">
        <x:v>existsByEmail=false; mock encode/save</x:v>
      </x:c>
      <x:c r="H11" s="261" t="str">
        <x:v>ยอมรับรหัสผ่าน 8 ตัวและดำเนินการสมัครต่อ</x:v>
      </x:c>
      <x:c r="I11" s="261" t="str">
        <x:v>ผ่านตาม Expected Result</x:v>
      </x:c>
      <x:c r="J11" s="270" t="str">
        <x:v>Pass</x:v>
      </x:c>
      <x:c r="K11" s="261" t="str">
        <x:v>Unit test (JUnit 5 / Mockito)</x:v>
      </x:c>
      <x:c r="L11" s="261" t="str">
        <x:v>AuthServiceRegisterTest.register_eightCharacterPassword_accepted</x:v>
      </x:c>
      <x:c r="M11" s="261" t="str">
        <x:v>2026-10-01 16:21:52 | 13/13 passed | BUILD SUCCESS</x:v>
      </x:c>
    </x:row>
    <x:row r="12" ht="26.399999618530273" hidden="0" customHeight="1">
      <x:c r="A12" s="270" t="str">
        <x:v>UC-AUTH-01</x:v>
      </x:c>
      <x:c r="B12" s="270" t="str">
        <x:v>TS001</x:v>
      </x:c>
      <x:c r="C12" s="270" t="str">
        <x:v>REG-009</x:v>
      </x:c>
      <x:c r="D12" s="261" t="str">
        <x:v>EC: ข้อมูลซ้ำ</x:v>
      </x:c>
      <x:c r="E12" s="261" t="str">
        <x:v>AuthService.register</x:v>
      </x:c>
      <x:c r="F12" s="261" t="str">
        <x:v>email ที่มีอยู่แล้ว</x:v>
      </x:c>
      <x:c r="G12" s="261" t="str">
        <x:v>existsByEmail=true</x:v>
      </x:c>
      <x:c r="H12" s="261" t="str">
        <x:v>แจ้ง Email already exists และไม่ save</x:v>
      </x:c>
      <x:c r="I12" s="261" t="str">
        <x:v>ผ่านตาม Expected Result</x:v>
      </x:c>
      <x:c r="J12" s="270" t="str">
        <x:v>Pass</x:v>
      </x:c>
      <x:c r="K12" s="261" t="str">
        <x:v>Unit test (JUnit 5 / Mockito)</x:v>
      </x:c>
      <x:c r="L12" s="261" t="str">
        <x:v>AuthServiceRegisterTest.register_duplicateEmail_rejected</x:v>
      </x:c>
      <x:c r="M12" s="261" t="str">
        <x:v>2026-10-01 16:21:52 | 13/13 passed | BUILD SUCCESS</x:v>
      </x:c>
    </x:row>
    <x:row r="13" ht="26.399999618530273" hidden="0" customHeight="1">
      <x:c r="A13" s="270" t="str">
        <x:v>UC-AUTH-01</x:v>
      </x:c>
      <x:c r="B13" s="270" t="str">
        <x:v>TS001</x:v>
      </x:c>
      <x:c r="C13" s="270" t="str">
        <x:v>REG-010</x:v>
      </x:c>
      <x:c r="D13" s="261" t="str">
        <x:v>Normalization</x:v>
      </x:c>
      <x:c r="E13" s="261" t="str">
        <x:v>AuthService.register</x:v>
      </x:c>
      <x:c r="F13" s="261" t="str">
        <x:v>email='  STUDENT@KKU.AC.TH  '</x:v>
      </x:c>
      <x:c r="G13" s="261" t="str">
        <x:v>existsByEmail=false; mock encode/save</x:v>
      </x:c>
      <x:c r="H13" s="261" t="str">
        <x:v>trim + lowercase ก่อนตรวจซ้ำและบันทึก</x:v>
      </x:c>
      <x:c r="I13" s="261" t="str">
        <x:v>ผ่านตาม Expected Result</x:v>
      </x:c>
      <x:c r="J13" s="270" t="str">
        <x:v>Pass</x:v>
      </x:c>
      <x:c r="K13" s="261" t="str">
        <x:v>Unit test (JUnit 5 / Mockito)</x:v>
      </x:c>
      <x:c r="L13" s="261" t="str">
        <x:v>AuthServiceRegisterTest.register_emailIsNormalized</x:v>
      </x:c>
      <x:c r="M13" s="261" t="str">
        <x:v>2026-10-01 16:21:52 | 13/13 passed | BUILD SUCCESS</x:v>
      </x:c>
    </x:row>
    <x:row r="14" ht="26.399999618530273" hidden="0" customHeight="1">
      <x:c r="A14" s="270" t="str">
        <x:v>UC-AUTH-01</x:v>
      </x:c>
      <x:c r="B14" s="270" t="str">
        <x:v>TS001</x:v>
      </x:c>
      <x:c r="C14" s="270" t="str">
        <x:v>REG-011</x:v>
      </x:c>
      <x:c r="D14" s="261" t="str">
        <x:v>ตรวจตามโค้ด</x:v>
      </x:c>
      <x:c r="E14" s="261" t="str">
        <x:v>AuthService.register</x:v>
      </x:c>
      <x:c r="F14" s="261" t="str">
        <x:v>ข้อมูลถูกต้อง</x:v>
      </x:c>
      <x:c r="G14" s="261" t="str">
        <x:v>encode(raw) คืน hash; save คืน User</x:v>
      </x:c>
      <x:c r="H14" s="261" t="str">
        <x:v>บันทึก passwordHash ที่เข้ารหัสและ status ACTIVE</x:v>
      </x:c>
      <x:c r="I14" s="261" t="str">
        <x:v>ผ่านตาม Expected Result</x:v>
      </x:c>
      <x:c r="J14" s="270" t="str">
        <x:v>Pass</x:v>
      </x:c>
      <x:c r="K14" s="261" t="str">
        <x:v>Unit test (JUnit 5 / Mockito)</x:v>
      </x:c>
      <x:c r="L14" s="261" t="str">
        <x:v>AuthServiceRegisterTest.register_passwordIsEncodedAndStatusActive</x:v>
      </x:c>
      <x:c r="M14" s="261" t="str">
        <x:v>2026-10-01 16:21:52 | 13/13 passed | BUILD SUCCESS</x:v>
      </x:c>
    </x:row>
    <x:row r="15" ht="26.399999618530273" hidden="0" customHeight="1">
      <x:c r="A15" s="270" t="str">
        <x:v>UC-AUTH-01</x:v>
      </x:c>
      <x:c r="B15" s="270" t="str">
        <x:v>TS001</x:v>
      </x:c>
      <x:c r="C15" s="270" t="str">
        <x:v>REG-012</x:v>
      </x:c>
      <x:c r="D15" s="261" t="str">
        <x:v>Image upload</x:v>
      </x:c>
      <x:c r="E15" s="261" t="str">
        <x:v>AuthService.register</x:v>
      </x:c>
      <x:c r="F15" s="261" t="str">
        <x:v>imageBase64 มีข้อมูล</x:v>
      </x:c>
      <x:c r="G15" s="261" t="str">
        <x:v>uploadBase64 คืน profile.jpg; S3 endpoint คืน URL จำลอง</x:v>
      </x:c>
      <x:c r="H15" s="261" t="str">
        <x:v>เรียก upload และสร้าง imageUrl ตาม behavior ปัจจุบัน</x:v>
      </x:c>
      <x:c r="I15" s="261" t="str">
        <x:v>ผ่านตาม Expected Result</x:v>
      </x:c>
      <x:c r="J15" s="270" t="str">
        <x:v>Pass</x:v>
      </x:c>
      <x:c r="K15" s="261" t="str">
        <x:v>Unit test (JUnit 5 / Mockito)</x:v>
      </x:c>
      <x:c r="L15" s="261" t="str">
        <x:v>AuthServiceRegisterTest.register_imageProvided_uploadsImage</x:v>
      </x:c>
      <x:c r="M15" s="261" t="str">
        <x:v>2026-10-01 16:21:52 | 13/13 passed | BUILD SUCCESS</x:v>
      </x:c>
    </x:row>
    <x:row r="16" ht="26.399999618530273" hidden="0" customHeight="1">
      <x:c r="A16" s="270" t="str">
        <x:v>UC-AUTH-01</x:v>
      </x:c>
      <x:c r="B16" s="270" t="str">
        <x:v>TS001</x:v>
      </x:c>
      <x:c r="C16" s="270" t="str">
        <x:v>REG-013</x:v>
      </x:c>
      <x:c r="D16" s="261" t="str">
        <x:v>Optional image / robustness</x:v>
      </x:c>
      <x:c r="E16" s="261" t="str">
        <x:v>AuthService.register</x:v>
      </x:c>
      <x:c r="F16" s="261" t="str">
        <x:v>imageBase64=null/blank</x:v>
      </x:c>
      <x:c r="G16" s="261" t="str">
        <x:v>StorageTool ไม่ถูกเรียก; ใช้ default avatar</x:v>
      </x:c>
      <x:c r="H16" s="261" t="str">
        <x:v>ไม่เรียก upload และใช้ avatar.png</x:v>
      </x:c>
      <x:c r="I16" s="261" t="str">
        <x:v>ผ่านตาม Expected Result</x:v>
      </x:c>
      <x:c r="J16" s="270" t="str">
        <x:v>Pass</x:v>
      </x:c>
      <x:c r="K16" s="261" t="str">
        <x:v>Unit test (JUnit 5 / Mockito)</x:v>
      </x:c>
      <x:c r="L16" s="261" t="str">
        <x:v>AuthServiceRegisterTest.register_blankImage_doesNotUploadImage</x:v>
      </x:c>
      <x:c r="M16" s="261" t="str">
        <x:v>2026-10-01 16:21:52 | 13/13 passed | BUILD SUCCESS</x:v>
      </x:c>
    </x:row>
    <x:row r="17" ht="26.399999618530273" hidden="0" customHeight="1">
      <x:c r="A17" s="270" t="str">
        <x:v>UC-AUTH-02</x:v>
      </x:c>
      <x:c r="B17" s="270" t="str">
        <x:v>TS002</x:v>
      </x:c>
      <x:c r="C17" s="270" t="str">
        <x:v>LOGIN-001</x:v>
      </x:c>
      <x:c r="D17" s="261" t="str">
        <x:v>EC: ข้อมูลถูกต้อง</x:v>
      </x:c>
      <x:c r="E17" s="261" t="str">
        <x:v>AuthService.login</x:v>
      </x:c>
      <x:c r="F17" s="261" t="str">
        <x:v>email/password ถูกต้อง; User ACTIVE</x:v>
      </x:c>
      <x:c r="G17" s="261" t="str">
        <x:v>findByEmail พบ User; matches=true</x:v>
      </x:c>
      <x:c r="H17" s="261" t="str">
        <x:v>เข้าสู่ระบบสำเร็จและคืน User</x:v>
      </x:c>
      <x:c r="I17" s="261" t="str">
        <x:v>ผ่านตาม Expected Result</x:v>
      </x:c>
      <x:c r="J17" s="270" t="str">
        <x:v>Pass</x:v>
      </x:c>
      <x:c r="K17" s="261" t="str">
        <x:v>Unit test (JUnit 5 / Mockito)</x:v>
      </x:c>
      <x:c r="L17" s="261" t="str">
        <x:v>AuthServiceLoginTest.login_validCredentials_returnsUser</x:v>
      </x:c>
      <x:c r="M17" s="261" t="str">
        <x:v>2026-10-01 16:29:59 | 11/11 passed | BUILD SUCCESS</x:v>
      </x:c>
    </x:row>
    <x:row r="18" ht="26.399999618530273" hidden="0" customHeight="1">
      <x:c r="A18" s="270" t="str">
        <x:v>UC-AUTH-02</x:v>
      </x:c>
      <x:c r="B18" s="270" t="str">
        <x:v>TS002</x:v>
      </x:c>
      <x:c r="C18" s="270" t="str">
        <x:v>LOGIN-002</x:v>
      </x:c>
      <x:c r="D18" s="261" t="str">
        <x:v>EC: ข้อมูลไม่ถูกต้อง</x:v>
      </x:c>
      <x:c r="E18" s="261" t="str">
        <x:v>AuthService.login</x:v>
      </x:c>
      <x:c r="F18" s="261" t="str">
        <x:v>request=null</x:v>
      </x:c>
      <x:c r="G18" s="261" t="str">
        <x:v>ไม่ต้องกำหนดผล mock</x:v>
      </x:c>
      <x:c r="H18" s="261" t="str">
        <x:v>แจ้ง Login request is required</x:v>
      </x:c>
      <x:c r="I18" s="261" t="str">
        <x:v>ผ่านตาม Expected Result</x:v>
      </x:c>
      <x:c r="J18" s="270" t="str">
        <x:v>Pass</x:v>
      </x:c>
      <x:c r="K18" s="261" t="str">
        <x:v>Unit test (JUnit 5 / Mockito)</x:v>
      </x:c>
      <x:c r="L18" s="261" t="str">
        <x:v>AuthServiceLoginTest.login_nullRequest_rejected</x:v>
      </x:c>
      <x:c r="M18" s="261" t="str">
        <x:v>2026-10-01 16:29:59 | 11/11 passed | BUILD SUCCESS</x:v>
      </x:c>
    </x:row>
    <x:row r="19" ht="26.399999618530273" hidden="0" customHeight="1">
      <x:c r="A19" s="270" t="str">
        <x:v>UC-AUTH-02</x:v>
      </x:c>
      <x:c r="B19" s="270" t="str">
        <x:v>TS002</x:v>
      </x:c>
      <x:c r="C19" s="270" t="str">
        <x:v>LOGIN-003</x:v>
      </x:c>
      <x:c r="D19" s="261" t="str">
        <x:v>EC: ข้อมูลไม่ถูกต้อง</x:v>
      </x:c>
      <x:c r="E19" s="261" t="str">
        <x:v>AuthService.login</x:v>
      </x:c>
      <x:c r="F19" s="261" t="str">
        <x:v>email=null</x:v>
      </x:c>
      <x:c r="G19" s="261" t="str">
        <x:v>ไม่ต้องกำหนดผล mock</x:v>
      </x:c>
      <x:c r="H19" s="261" t="str">
        <x:v>แจ้ง Email is required</x:v>
      </x:c>
      <x:c r="I19" s="261" t="str">
        <x:v>ผ่านตาม Expected Result</x:v>
      </x:c>
      <x:c r="J19" s="270" t="str">
        <x:v>Pass</x:v>
      </x:c>
      <x:c r="K19" s="261" t="str">
        <x:v>Unit test (JUnit 5 / Mockito)</x:v>
      </x:c>
      <x:c r="L19" s="261" t="str">
        <x:v>AuthServiceLoginTest.login_nullEmail_rejected</x:v>
      </x:c>
      <x:c r="M19" s="261" t="str">
        <x:v>2026-10-01 16:29:59 | 11/11 passed | BUILD SUCCESS</x:v>
      </x:c>
    </x:row>
    <x:row r="20" ht="26.399999618530273" hidden="0" customHeight="1">
      <x:c r="A20" s="270" t="str">
        <x:v>UC-AUTH-02</x:v>
      </x:c>
      <x:c r="B20" s="270" t="str">
        <x:v>TS002</x:v>
      </x:c>
      <x:c r="C20" s="270" t="str">
        <x:v>LOGIN-004</x:v>
      </x:c>
      <x:c r="D20" s="261" t="str">
        <x:v>EC: ข้อมูลไม่ถูกต้อง</x:v>
      </x:c>
      <x:c r="E20" s="261" t="str">
        <x:v>AuthService.login</x:v>
      </x:c>
      <x:c r="F20" s="261" t="str">
        <x:v>email='   '</x:v>
      </x:c>
      <x:c r="G20" s="261" t="str">
        <x:v>ไม่ต้องกำหนดผล mock</x:v>
      </x:c>
      <x:c r="H20" s="261" t="str">
        <x:v>แจ้ง Email is required</x:v>
      </x:c>
      <x:c r="I20" s="261" t="str">
        <x:v>ผ่านตาม Expected Result</x:v>
      </x:c>
      <x:c r="J20" s="270" t="str">
        <x:v>Pass</x:v>
      </x:c>
      <x:c r="K20" s="261" t="str">
        <x:v>Unit test (JUnit 5 / Mockito)</x:v>
      </x:c>
      <x:c r="L20" s="261" t="str">
        <x:v>AuthServiceLoginTest.login_blankEmail_rejected</x:v>
      </x:c>
      <x:c r="M20" s="261" t="str">
        <x:v>2026-10-01 16:29:59 | 11/11 passed | BUILD SUCCESS</x:v>
      </x:c>
    </x:row>
    <x:row r="21" ht="26.399999618530273" hidden="0" customHeight="1">
      <x:c r="A21" s="270" t="str">
        <x:v>UC-AUTH-02</x:v>
      </x:c>
      <x:c r="B21" s="270" t="str">
        <x:v>TS002</x:v>
      </x:c>
      <x:c r="C21" s="270" t="str">
        <x:v>LOGIN-005</x:v>
      </x:c>
      <x:c r="D21" s="261" t="str">
        <x:v>EC: ข้อมูลไม่ถูกต้อง</x:v>
      </x:c>
      <x:c r="E21" s="261" t="str">
        <x:v>AuthService.login</x:v>
      </x:c>
      <x:c r="F21" s="261" t="str">
        <x:v>password=null</x:v>
      </x:c>
      <x:c r="G21" s="261" t="str">
        <x:v>ไม่ต้องกำหนดผล mock</x:v>
      </x:c>
      <x:c r="H21" s="261" t="str">
        <x:v>แจ้ง Password is required</x:v>
      </x:c>
      <x:c r="I21" s="261" t="str">
        <x:v>ผ่านตาม Expected Result</x:v>
      </x:c>
      <x:c r="J21" s="270" t="str">
        <x:v>Pass</x:v>
      </x:c>
      <x:c r="K21" s="261" t="str">
        <x:v>Unit test (JUnit 5 / Mockito)</x:v>
      </x:c>
      <x:c r="L21" s="261" t="str">
        <x:v>AuthServiceLoginTest.login_nullPassword_rejected</x:v>
      </x:c>
      <x:c r="M21" s="261" t="str">
        <x:v>2026-10-01 16:29:59 | 11/11 passed | BUILD SUCCESS</x:v>
      </x:c>
    </x:row>
    <x:row r="22" ht="26.399999618530273" hidden="0" customHeight="1">
      <x:c r="A22" s="270" t="str">
        <x:v>UC-AUTH-02</x:v>
      </x:c>
      <x:c r="B22" s="270" t="str">
        <x:v>TS002</x:v>
      </x:c>
      <x:c r="C22" s="270" t="str">
        <x:v>LOGIN-006</x:v>
      </x:c>
      <x:c r="D22" s="261" t="str">
        <x:v>EC: ข้อมูลไม่ถูกต้อง</x:v>
      </x:c>
      <x:c r="E22" s="261" t="str">
        <x:v>AuthService.login</x:v>
      </x:c>
      <x:c r="F22" s="261" t="str">
        <x:v>password='   '</x:v>
      </x:c>
      <x:c r="G22" s="261" t="str">
        <x:v>ไม่ต้องกำหนดผล mock</x:v>
      </x:c>
      <x:c r="H22" s="261" t="str">
        <x:v>แจ้ง Password is required</x:v>
      </x:c>
      <x:c r="I22" s="261" t="str">
        <x:v>ผ่านตาม Expected Result</x:v>
      </x:c>
      <x:c r="J22" s="270" t="str">
        <x:v>Pass</x:v>
      </x:c>
      <x:c r="K22" s="261" t="str">
        <x:v>Unit test (JUnit 5 / Mockito)</x:v>
      </x:c>
      <x:c r="L22" s="261" t="str">
        <x:v>AuthServiceLoginTest.login_blankPassword_rejected</x:v>
      </x:c>
      <x:c r="M22" s="261" t="str">
        <x:v>2026-10-01 16:29:59 | 11/11 passed | BUILD SUCCESS</x:v>
      </x:c>
    </x:row>
    <x:row r="23" ht="26.399999618530273" hidden="0" customHeight="1">
      <x:c r="A23" s="270" t="str">
        <x:v>UC-AUTH-02</x:v>
      </x:c>
      <x:c r="B23" s="270" t="str">
        <x:v>TS002</x:v>
      </x:c>
      <x:c r="C23" s="270" t="str">
        <x:v>LOGIN-007</x:v>
      </x:c>
      <x:c r="D23" s="261" t="str">
        <x:v>EC: ไม่พบผู้ใช้</x:v>
      </x:c>
      <x:c r="E23" s="261" t="str">
        <x:v>AuthService.login</x:v>
      </x:c>
      <x:c r="F23" s="261" t="str">
        <x:v>email ที่ไม่มีในระบบ</x:v>
      </x:c>
      <x:c r="G23" s="261" t="str">
        <x:v>findByEmail=empty</x:v>
      </x:c>
      <x:c r="H23" s="261" t="str">
        <x:v>แจ้ง Invalid email or password</x:v>
      </x:c>
      <x:c r="I23" s="261" t="str">
        <x:v>ผ่านตาม Expected Result</x:v>
      </x:c>
      <x:c r="J23" s="270" t="str">
        <x:v>Pass</x:v>
      </x:c>
      <x:c r="K23" s="261" t="str">
        <x:v>Unit test (JUnit 5 / Mockito)</x:v>
      </x:c>
      <x:c r="L23" s="261" t="str">
        <x:v>AuthServiceLoginTest.login_unknownEmail_rejected</x:v>
      </x:c>
      <x:c r="M23" s="261" t="str">
        <x:v>2026-10-01 16:29:59 | 11/11 passed | BUILD SUCCESS</x:v>
      </x:c>
    </x:row>
    <x:row r="24" ht="26.399999618530273" hidden="0" customHeight="1">
      <x:c r="A24" s="270" t="str">
        <x:v>UC-AUTH-02</x:v>
      </x:c>
      <x:c r="B24" s="270" t="str">
        <x:v>TS002</x:v>
      </x:c>
      <x:c r="C24" s="270" t="str">
        <x:v>LOGIN-008</x:v>
      </x:c>
      <x:c r="D24" s="261" t="str">
        <x:v>สถานะบัญชี</x:v>
      </x:c>
      <x:c r="E24" s="261" t="str">
        <x:v>AuthService.login</x:v>
      </x:c>
      <x:c r="F24" s="261" t="str">
        <x:v>User status ไม่ใช่ ACTIVE</x:v>
      </x:c>
      <x:c r="G24" s="261" t="str">
        <x:v>findByEmail พบ User BLOCKED/INACTIVE</x:v>
      </x:c>
      <x:c r="H24" s="261" t="str">
        <x:v>แจ้ง User account is not active</x:v>
      </x:c>
      <x:c r="I24" s="261" t="str">
        <x:v>ผ่านตาม Expected Result</x:v>
      </x:c>
      <x:c r="J24" s="270" t="str">
        <x:v>Pass</x:v>
      </x:c>
      <x:c r="K24" s="261" t="str">
        <x:v>Unit test (JUnit 5 / Mockito)</x:v>
      </x:c>
      <x:c r="L24" s="261" t="str">
        <x:v>AuthServiceLoginTest.login_blockedAccount_rejected</x:v>
      </x:c>
      <x:c r="M24" s="261" t="str">
        <x:v>2026-10-01 16:29:59 | 11/11 passed | BUILD SUCCESS</x:v>
      </x:c>
    </x:row>
    <x:row r="25" ht="26.399999618530273" hidden="0" customHeight="1">
      <x:c r="A25" s="270" t="str">
        <x:v>UC-AUTH-02</x:v>
      </x:c>
      <x:c r="B25" s="270" t="str">
        <x:v>TS002</x:v>
      </x:c>
      <x:c r="C25" s="270" t="str">
        <x:v>LOGIN-009</x:v>
      </x:c>
      <x:c r="D25" s="261" t="str">
        <x:v>EC: รหัสผ่านผิด</x:v>
      </x:c>
      <x:c r="E25" s="261" t="str">
        <x:v>AuthService.login</x:v>
      </x:c>
      <x:c r="F25" s="261" t="str">
        <x:v>email ถูกต้อง แต่ password ผิด</x:v>
      </x:c>
      <x:c r="G25" s="261" t="str">
        <x:v>findByEmail พบ ACTIVE; matches=false</x:v>
      </x:c>
      <x:c r="H25" s="261" t="str">
        <x:v>แจ้ง Invalid email or password</x:v>
      </x:c>
      <x:c r="I25" s="261" t="str">
        <x:v>ผ่านตาม Expected Result</x:v>
      </x:c>
      <x:c r="J25" s="270" t="str">
        <x:v>Pass</x:v>
      </x:c>
      <x:c r="K25" s="261" t="str">
        <x:v>Unit test (JUnit 5 / Mockito)</x:v>
      </x:c>
      <x:c r="L25" s="261" t="str">
        <x:v>AuthServiceLoginTest.login_wrongPassword_rejected</x:v>
      </x:c>
      <x:c r="M25" s="261" t="str">
        <x:v>2026-10-01 16:29:59 | 11/11 passed | BUILD SUCCESS</x:v>
      </x:c>
    </x:row>
    <x:row r="26" ht="26.399999618530273" hidden="0" customHeight="1">
      <x:c r="A26" s="270" t="str">
        <x:v>UC-AUTH-02</x:v>
      </x:c>
      <x:c r="B26" s="270" t="str">
        <x:v>TS002</x:v>
      </x:c>
      <x:c r="C26" s="270" t="str">
        <x:v>LOGIN-010</x:v>
      </x:c>
      <x:c r="D26" s="261" t="str">
        <x:v>Normalization</x:v>
      </x:c>
      <x:c r="E26" s="261" t="str">
        <x:v>AuthService.login</x:v>
      </x:c>
      <x:c r="F26" s="261" t="str">
        <x:v>email='  STUDENT@KKU.AC.TH  '</x:v>
      </x:c>
      <x:c r="G26" s="261" t="str">
        <x:v>findByEmail ต้องได้รับ student@kku.ac.th</x:v>
      </x:c>
      <x:c r="H26" s="261" t="str">
        <x:v>trim + lowercase ก่อนค้นหา</x:v>
      </x:c>
      <x:c r="I26" s="261" t="str">
        <x:v>ผ่านตาม Expected Result</x:v>
      </x:c>
      <x:c r="J26" s="270" t="str">
        <x:v>Pass</x:v>
      </x:c>
      <x:c r="K26" s="261" t="str">
        <x:v>Unit test (JUnit 5 / Mockito)</x:v>
      </x:c>
      <x:c r="L26" s="261" t="str">
        <x:v>AuthServiceLoginTest.login_spacedUppercaseEmail_normalized</x:v>
      </x:c>
      <x:c r="M26" s="261" t="str">
        <x:v>2026-10-01 16:29:59 | 11/11 passed | BUILD SUCCESS</x:v>
      </x:c>
    </x:row>
    <x:row r="27" ht="26.399999618530273" hidden="0" customHeight="1">
      <x:c r="A27" s="270" t="str">
        <x:v>UC-AUTH-02</x:v>
      </x:c>
      <x:c r="B27" s="270" t="str">
        <x:v>TS002</x:v>
      </x:c>
      <x:c r="C27" s="270" t="str">
        <x:v>LOGIN-011</x:v>
      </x:c>
      <x:c r="D27" s="261" t="str">
        <x:v>Dependency interaction</x:v>
      </x:c>
      <x:c r="E27" s="261" t="str">
        <x:v>AuthService.login</x:v>
      </x:c>
      <x:c r="F27" s="261" t="str">
        <x:v>User ไม่ ACTIVE</x:v>
      </x:c>
      <x:c r="G27" s="261" t="str">
        <x:v>findByEmail พบ User ไม่ ACTIVE</x:v>
      </x:c>
      <x:c r="H27" s="261" t="str">
        <x:v>ปฏิเสธก่อนเรียก passwordEncoder.matches</x:v>
      </x:c>
      <x:c r="I27" s="261" t="str">
        <x:v>ผ่านตาม Expected Result</x:v>
      </x:c>
      <x:c r="J27" s="270" t="str">
        <x:v>Pass</x:v>
      </x:c>
      <x:c r="K27" s="261" t="str">
        <x:v>Unit test (JUnit 5 / Mockito)</x:v>
      </x:c>
      <x:c r="L27" s="261" t="str">
        <x:v>AuthServiceLoginTest.login_blockedAccount_doesNotCheckPassword</x:v>
      </x:c>
      <x:c r="M27" s="261" t="str">
        <x:v>2026-10-01 16:29:59 | 11/11 passed | BUILD SUCCESS</x:v>
      </x:c>
    </x:row>
    <x:row r="28" ht="26.399999618530273" hidden="0" customHeight="1">
      <x:c r="A28" s="270" t="str">
        <x:v>UC-AUTH-03</x:v>
      </x:c>
      <x:c r="B28" s="270" t="str">
        <x:v>TS003</x:v>
      </x:c>
      <x:c r="C28" s="270" t="str">
        <x:v>API-001</x:v>
      </x:c>
      <x:c r="D28" s="261" t="str">
        <x:v>API: register success</x:v>
      </x:c>
      <x:c r="E28" s="261" t="str">
        <x:v>AuthController.register</x:v>
      </x:c>
      <x:c r="F28" s="261" t="str">
        <x:v>POST /api/auth/register + valid JSON</x:v>
      </x:c>
      <x:c r="G28" s="261" t="str">
        <x:v>AuthService.register คืน User</x:v>
      </x:c>
      <x:c r="H28" s="261" t="str">
        <x:v>201 Created + RegisterResponse</x:v>
      </x:c>
      <x:c r="I28" s="261" t="str">
        <x:v>ผ่านตาม Expected Result</x:v>
      </x:c>
      <x:c r="J28" s="270" t="str">
        <x:v>Pass</x:v>
      </x:c>
      <x:c r="K28" s="261" t="str">
        <x:v>MVC Slice Test</x:v>
      </x:c>
      <x:c r="L28" s="261" t="str">
        <x:v>AuthControllerMvcTest.register_validRequest_returnsCreated</x:v>
      </x:c>
      <x:c r="M28" s="261" t="str">
        <x:v>2026-10-01 16:43:40 | 8/8 passed | BUILD SUCCESS</x:v>
      </x:c>
    </x:row>
    <x:row r="29" ht="26.399999618530273" hidden="0" customHeight="1">
      <x:c r="A29" s="270" t="str">
        <x:v>UC-AUTH-03</x:v>
      </x:c>
      <x:c r="B29" s="270" t="str">
        <x:v>TS003</x:v>
      </x:c>
      <x:c r="C29" s="270" t="str">
        <x:v>API-002</x:v>
      </x:c>
      <x:c r="D29" s="261" t="str">
        <x:v>API: login success</x:v>
      </x:c>
      <x:c r="E29" s="261" t="str">
        <x:v>AuthController.login</x:v>
      </x:c>
      <x:c r="F29" s="261" t="str">
        <x:v>POST /api/auth/login + valid JSON</x:v>
      </x:c>
      <x:c r="G29" s="261" t="str">
        <x:v>AuthService.login คืน User</x:v>
      </x:c>
      <x:c r="H29" s="261" t="str">
        <x:v>200 OK + LoginResponse + userId ถูกเก็บใน session</x:v>
      </x:c>
      <x:c r="I29" s="261" t="str">
        <x:v>ผ่านตาม Expected Result</x:v>
      </x:c>
      <x:c r="J29" s="270" t="str">
        <x:v>Pass</x:v>
      </x:c>
      <x:c r="K29" s="261" t="str">
        <x:v>MVC Slice Test</x:v>
      </x:c>
      <x:c r="L29" s="261" t="str">
        <x:v>AuthControllerMvcTest.login_validRequest_returnsOkAndCreatesSession</x:v>
      </x:c>
      <x:c r="M29" s="261" t="str">
        <x:v>2026-10-01 16:43:40 | 8/8 passed | BUILD SUCCESS</x:v>
      </x:c>
    </x:row>
    <x:row r="30" ht="26.399999618530273" hidden="0" customHeight="1">
      <x:c r="A30" s="270" t="str">
        <x:v>UC-AUTH-03</x:v>
      </x:c>
      <x:c r="B30" s="270" t="str">
        <x:v>TS003</x:v>
      </x:c>
      <x:c r="C30" s="270" t="str">
        <x:v>API-003</x:v>
      </x:c>
      <x:c r="D30" s="261" t="str">
        <x:v>Session: anonymous</x:v>
      </x:c>
      <x:c r="E30" s="261" t="str">
        <x:v>AuthController.SessionAuth</x:v>
      </x:c>
      <x:c r="F30" s="261" t="str">
        <x:v>GET /api/auth ไม่มี userId ใน session</x:v>
      </x:c>
      <x:c r="G30" s="261" t="str">
        <x:v>ไม่ต้อง mock service</x:v>
      </x:c>
      <x:c r="H30" s="261" t="str">
        <x:v>200 OK + userId=null</x:v>
      </x:c>
      <x:c r="I30" s="261" t="str">
        <x:v>ผ่านตาม Expected Result</x:v>
      </x:c>
      <x:c r="J30" s="270" t="str">
        <x:v>Pass</x:v>
      </x:c>
      <x:c r="K30" s="261" t="str">
        <x:v>MVC Slice Test</x:v>
      </x:c>
      <x:c r="L30" s="261" t="str">
        <x:v>AuthControllerMvcTest.sessionAuth_withoutLogin_returnsNullUserId</x:v>
      </x:c>
      <x:c r="M30" s="261" t="str">
        <x:v>2026-10-01 16:43:40 | 8/8 passed | BUILD SUCCESS</x:v>
      </x:c>
    </x:row>
    <x:row r="31" ht="26.399999618530273" hidden="0" customHeight="1">
      <x:c r="A31" s="270" t="str">
        <x:v>UC-AUTH-03</x:v>
      </x:c>
      <x:c r="B31" s="270" t="str">
        <x:v>TS003</x:v>
      </x:c>
      <x:c r="C31" s="270" t="str">
        <x:v>API-004</x:v>
      </x:c>
      <x:c r="D31" s="261" t="str">
        <x:v>Session: existing</x:v>
      </x:c>
      <x:c r="E31" s="261" t="str">
        <x:v>AuthController.SessionAuth</x:v>
      </x:c>
      <x:c r="F31" s="261" t="str">
        <x:v>GET /api/auth พร้อม session userId</x:v>
      </x:c>
      <x:c r="G31" s="261" t="str">
        <x:v>ใส่ UUID จำลองใน session</x:v>
      </x:c>
      <x:c r="H31" s="261" t="str">
        <x:v>200 OK + userId เดิม</x:v>
      </x:c>
      <x:c r="I31" s="261" t="str">
        <x:v>ผ่านตาม Expected Result</x:v>
      </x:c>
      <x:c r="J31" s="270" t="str">
        <x:v>Pass</x:v>
      </x:c>
      <x:c r="K31" s="261" t="str">
        <x:v>MVC Slice Test</x:v>
      </x:c>
      <x:c r="L31" s="261" t="str">
        <x:v>AuthControllerMvcTest.sessionAuth_withSession_returnsUserId</x:v>
      </x:c>
      <x:c r="M31" s="261" t="str">
        <x:v>2026-10-01 16:43:40 | 8/8 passed | BUILD SUCCESS</x:v>
      </x:c>
    </x:row>
    <x:row r="32" ht="26.399999618530273" hidden="0" customHeight="1">
      <x:c r="A32" s="270" t="str">
        <x:v>UC-AUTH-03</x:v>
      </x:c>
      <x:c r="B32" s="270" t="str">
        <x:v>TS003</x:v>
      </x:c>
      <x:c r="C32" s="270" t="str">
        <x:v>API-005</x:v>
      </x:c>
      <x:c r="D32" s="261" t="str">
        <x:v>Session: logout</x:v>
      </x:c>
      <x:c r="E32" s="261" t="str">
        <x:v>AuthController.logout</x:v>
      </x:c>
      <x:c r="F32" s="261" t="str">
        <x:v>POST /api/auth/logout พร้อม session</x:v>
      </x:c>
      <x:c r="G32" s="261" t="str">
        <x:v>ใช้ MockHttpSession</x:v>
      </x:c>
      <x:c r="H32" s="261" t="str">
        <x:v>204 No Content + session invalidated</x:v>
      </x:c>
      <x:c r="I32" s="261" t="str">
        <x:v>ผ่านตาม Expected Result</x:v>
      </x:c>
      <x:c r="J32" s="270" t="str">
        <x:v>Pass</x:v>
      </x:c>
      <x:c r="K32" s="261" t="str">
        <x:v>MVC Slice Test</x:v>
      </x:c>
      <x:c r="L32" s="261" t="str">
        <x:v>AuthControllerMvcTest.logout_invalidatesSession</x:v>
      </x:c>
      <x:c r="M32" s="261" t="str">
        <x:v>2026-10-01 16:43:40 | 8/8 passed | BUILD SUCCESS</x:v>
      </x:c>
    </x:row>
    <x:row r="33" ht="26.399999618530273" hidden="0" customHeight="1">
      <x:c r="A33" s="270" t="str">
        <x:v>UC-AUTH-03</x:v>
      </x:c>
      <x:c r="B33" s="270" t="str">
        <x:v>TS003</x:v>
      </x:c>
      <x:c r="C33" s="270" t="str">
        <x:v>API-006</x:v>
      </x:c>
      <x:c r="D33" s="261" t="str">
        <x:v>Malformed request</x:v>
      </x:c>
      <x:c r="E33" s="261" t="str">
        <x:v>AuthController.register</x:v>
      </x:c>
      <x:c r="F33" s="261" t="str">
        <x:v>POST /api/auth/register + malformed JSON</x:v>
      </x:c>
      <x:c r="G33" s="261" t="str">
        <x:v>AuthService ต้องไม่ถูกเรียก</x:v>
      </x:c>
      <x:c r="H33" s="261" t="str">
        <x:v>400 Bad Request</x:v>
      </x:c>
      <x:c r="I33" s="261" t="str">
        <x:v>ผ่านตาม Expected Result</x:v>
      </x:c>
      <x:c r="J33" s="270" t="str">
        <x:v>Pass</x:v>
      </x:c>
      <x:c r="K33" s="261" t="str">
        <x:v>MVC Slice Test</x:v>
      </x:c>
      <x:c r="L33" s="261" t="str">
        <x:v>AuthControllerMvcTest.register_malformedJson_returnsBadRequest</x:v>
      </x:c>
      <x:c r="M33" s="261" t="str">
        <x:v>2026-10-01 16:43:40 | 8/8 passed | BUILD SUCCESS</x:v>
      </x:c>
    </x:row>
    <x:row r="34" ht="26.399999618530273" hidden="0" customHeight="1">
      <x:c r="A34" s="270" t="str">
        <x:v>UC-AUTH-03</x:v>
      </x:c>
      <x:c r="B34" s="270" t="str">
        <x:v>TS003</x:v>
      </x:c>
      <x:c r="C34" s="270" t="str">
        <x:v>API-007</x:v>
      </x:c>
      <x:c r="D34" s="261" t="str">
        <x:v>Malformed request</x:v>
      </x:c>
      <x:c r="E34" s="261" t="str">
        <x:v>AuthController.login</x:v>
      </x:c>
      <x:c r="F34" s="261" t="str">
        <x:v>POST /api/auth/login + malformed JSON</x:v>
      </x:c>
      <x:c r="G34" s="261" t="str">
        <x:v>AuthService ต้องไม่ถูกเรียก</x:v>
      </x:c>
      <x:c r="H34" s="261" t="str">
        <x:v>400 Bad Request</x:v>
      </x:c>
      <x:c r="I34" s="261" t="str">
        <x:v>ผ่านตาม Expected Result</x:v>
      </x:c>
      <x:c r="J34" s="270" t="str">
        <x:v>Pass</x:v>
      </x:c>
      <x:c r="K34" s="261" t="str">
        <x:v>MVC Slice Test</x:v>
      </x:c>
      <x:c r="L34" s="261" t="str">
        <x:v>AuthControllerMvcTest.login_malformedJson_returnsBadRequest</x:v>
      </x:c>
      <x:c r="M34" s="261" t="str">
        <x:v>2026-10-01 16:43:40 | 8/8 passed | BUILD SUCCESS</x:v>
      </x:c>
    </x:row>
    <x:row r="35" ht="26.399999618530273" hidden="0" customHeight="1">
      <x:c r="A35" s="270" t="str">
        <x:v>UC-AUTH-03</x:v>
      </x:c>
      <x:c r="B35" s="270" t="str">
        <x:v>TS003</x:v>
      </x:c>
      <x:c r="C35" s="270" t="str">
        <x:v>API-008</x:v>
      </x:c>
      <x:c r="D35" s="261" t="str">
        <x:v>Response privacy</x:v>
      </x:c>
      <x:c r="E35" s="261" t="str">
        <x:v>LoginResponse</x:v>
      </x:c>
      <x:c r="F35" s="261" t="str">
        <x:v>POST /api/auth/login + valid JSON</x:v>
      </x:c>
      <x:c r="G35" s="261" t="str">
        <x:v>AuthService.login คืน User</x:v>
      </x:c>
      <x:c r="H35" s="261" t="str">
        <x:v>response ไม่มี password, passwordHash หรือ password_hash</x:v>
      </x:c>
      <x:c r="I35" s="261" t="str">
        <x:v>ผ่านตาม Expected Result</x:v>
      </x:c>
      <x:c r="J35" s="270" t="str">
        <x:v>Pass</x:v>
      </x:c>
      <x:c r="K35" s="261" t="str">
        <x:v>MVC Slice Test</x:v>
      </x:c>
      <x:c r="L35" s="261" t="str">
        <x:v>AuthControllerMvcTest.login_responseDoesNotExposePassword</x:v>
      </x:c>
      <x:c r="M35" s="261" t="str">
        <x:v>2026-10-01 16:43:40 | 8/8 passed | BUILD SUCCESS</x:v>
      </x:c>
    </x:row>
    <x:row r="36" ht="15" hidden="0" customHeight="1">
      <x:c r="A36" s="270" t="str">
        <x:v>UC-AUTH-04</x:v>
      </x:c>
      <x:c r="B36" s="270" t="str">
        <x:v>TS004</x:v>
      </x:c>
      <x:c r="C36" s="270" t="str">
        <x:v>SEC-001</x:v>
      </x:c>
      <x:c r="D36" s="261" t="str">
        <x:v>Route access</x:v>
      </x:c>
      <x:c r="E36" s="261" t="str">
        <x:v>SecurityConfig</x:v>
      </x:c>
      <x:c r="F36" s="261" t="str">
        <x:v>GET /, /login, /home, /register</x:v>
      </x:c>
      <x:c r="G36" s="261" t="str">
        <x:v>anonymous request</x:v>
      </x:c>
      <x:c r="H36" s="261" t="str">
        <x:v>route ถูก permitAll ตาม config ปัจจุบัน</x:v>
      </x:c>
      <x:c r="I36" s="261" t="str">
        <x:v>Not Run</x:v>
      </x:c>
      <x:c r="J36" s="270" t="str">
        <x:v>Not Run</x:v>
      </x:c>
      <x:c r="K36" s="261" t="str">
        <x:v>Security MVC Test</x:v>
      </x:c>
      <x:c r="L36" s="261" t="str"/>
      <x:c r="M36" s="261" t="str"/>
    </x:row>
    <x:row r="37" ht="15" hidden="0" customHeight="1">
      <x:c r="A37" s="270" t="str">
        <x:v>UC-AUTH-04</x:v>
      </x:c>
      <x:c r="B37" s="270" t="str">
        <x:v>TS004</x:v>
      </x:c>
      <x:c r="C37" s="270" t="str">
        <x:v>SEC-002</x:v>
      </x:c>
      <x:c r="D37" s="261" t="str">
        <x:v>API access</x:v>
      </x:c>
      <x:c r="E37" s="261" t="str">
        <x:v>SecurityConfig</x:v>
      </x:c>
      <x:c r="F37" s="261" t="str">
        <x:v>GET/POST /api/**</x:v>
      </x:c>
      <x:c r="G37" s="261" t="str">
        <x:v>anonymous request</x:v>
      </x:c>
      <x:c r="H37" s="261" t="str">
        <x:v>API ถูก permitAll ตาม config ปัจจุบัน</x:v>
      </x:c>
      <x:c r="I37" s="261" t="str">
        <x:v>Not Run</x:v>
      </x:c>
      <x:c r="J37" s="270" t="str">
        <x:v>Not Run</x:v>
      </x:c>
      <x:c r="K37" s="261" t="str">
        <x:v>Security MVC Test</x:v>
      </x:c>
      <x:c r="L37" s="261" t="str"/>
      <x:c r="M37" s="261" t="str"/>
    </x:row>
    <x:row r="38" ht="26.399999618530273" hidden="0" customHeight="1">
      <x:c r="A38" s="270" t="str">
        <x:v>UC-AUTH-04</x:v>
      </x:c>
      <x:c r="B38" s="270" t="str">
        <x:v>TS004</x:v>
      </x:c>
      <x:c r="C38" s="270" t="str">
        <x:v>SEC-003</x:v>
      </x:c>
      <x:c r="D38" s="261" t="str">
        <x:v>CSRF configuration</x:v>
      </x:c>
      <x:c r="E38" s="261" t="str">
        <x:v>SecurityConfig</x:v>
      </x:c>
      <x:c r="F38" s="261" t="str">
        <x:v>POST /api/auth/login/register/logout ไม่มี CSRF token</x:v>
      </x:c>
      <x:c r="G38" s="261" t="str">
        <x:v>anonymous/request ตามกรณี</x:v>
      </x:c>
      <x:c r="H38" s="261" t="str">
        <x:v>ไม่ถูกบล็อกจาก CSRF เพราะ /api/** ถูก ignore</x:v>
      </x:c>
      <x:c r="I38" s="261" t="str">
        <x:v>Not Run</x:v>
      </x:c>
      <x:c r="J38" s="270" t="str">
        <x:v>Not Run</x:v>
      </x:c>
      <x:c r="K38" s="261" t="str">
        <x:v>Security MVC Test</x:v>
      </x:c>
      <x:c r="L38" s="261" t="str"/>
      <x:c r="M38" s="261" t="str"/>
    </x:row>
    <x:row r="39" ht="15" hidden="0" customHeight="1">
      <x:c r="A39" s="270" t="str">
        <x:v>UC-AUTH-04</x:v>
      </x:c>
      <x:c r="B39" s="270" t="str">
        <x:v>TS004</x:v>
      </x:c>
      <x:c r="C39" s="270" t="str">
        <x:v>SEC-004</x:v>
      </x:c>
      <x:c r="D39" s="261" t="str">
        <x:v>Swagger access</x:v>
      </x:c>
      <x:c r="E39" s="261" t="str">
        <x:v>SecurityConfig</x:v>
      </x:c>
      <x:c r="F39" s="261" t="str">
        <x:v>GET /swagger-ui/** หรือ /v3/api-docs/**</x:v>
      </x:c>
      <x:c r="G39" s="261" t="str">
        <x:v>anonymous request</x:v>
      </x:c>
      <x:c r="H39" s="261" t="str">
        <x:v>route ถูก permitAll</x:v>
      </x:c>
      <x:c r="I39" s="261" t="str">
        <x:v>Not Run</x:v>
      </x:c>
      <x:c r="J39" s="270" t="str">
        <x:v>Not Run</x:v>
      </x:c>
      <x:c r="K39" s="261" t="str">
        <x:v>Security MVC Test</x:v>
      </x:c>
      <x:c r="L39" s="261" t="str"/>
      <x:c r="M39" s="261" t="str"/>
    </x:row>
    <x:row r="40" ht="26.399999618530273" hidden="0" customHeight="1">
      <x:c r="A40" s="270" t="str">
        <x:v>UC-AUTH-04</x:v>
      </x:c>
      <x:c r="B40" s="270" t="str">
        <x:v>TS004</x:v>
      </x:c>
      <x:c r="C40" s="270" t="str">
        <x:v>SEC-005</x:v>
      </x:c>
      <x:c r="D40" s="261" t="str">
        <x:v>Static route access</x:v>
      </x:c>
      <x:c r="E40" s="261" t="str">
        <x:v>SecurityConfig</x:v>
      </x:c>
      <x:c r="F40" s="261" t="str">
        <x:v>GET /css/** /js/** /images/** /favicon.ico</x:v>
      </x:c>
      <x:c r="G40" s="261" t="str">
        <x:v>anonymous request</x:v>
      </x:c>
      <x:c r="H40" s="261" t="str">
        <x:v>security ไม่บล็อก route เหล่านี้; resource existence ทดสอบภายหลัง</x:v>
      </x:c>
      <x:c r="I40" s="261" t="str">
        <x:v>Not Run</x:v>
      </x:c>
      <x:c r="J40" s="270" t="str">
        <x:v>Not Run</x:v>
      </x:c>
      <x:c r="K40" s="261" t="str">
        <x:v>Security MVC Test</x:v>
      </x:c>
      <x:c r="L40" s="261" t="str"/>
      <x:c r="M40" s="261" t="str"/>
    </x:row>
    <x:row r="41" ht="15" hidden="0" customHeight="1">
      <x:c r="A41" s="270" t="str">
        <x:v>UC-AUTH-04</x:v>
      </x:c>
      <x:c r="B41" s="270" t="str">
        <x:v>TS004</x:v>
      </x:c>
      <x:c r="C41" s="270" t="str">
        <x:v>SEC-006</x:v>
      </x:c>
      <x:c r="D41" s="261" t="str">
        <x:v>Protected fallback</x:v>
      </x:c>
      <x:c r="E41" s="261" t="str">
        <x:v>SecurityConfig</x:v>
      </x:c>
      <x:c r="F41" s="261" t="str">
        <x:v>GET path ที่ไม่อยู่ใน permitAll</x:v>
      </x:c>
      <x:c r="G41" s="261" t="str">
        <x:v>anonymous request</x:v>
      </x:c>
      <x:c r="H41" s="261" t="str">
        <x:v>ต้อง authenticated / ถูกปฏิเสธตาม Spring Security</x:v>
      </x:c>
      <x:c r="I41" s="261" t="str">
        <x:v>Not Run</x:v>
      </x:c>
      <x:c r="J41" s="270" t="str">
        <x:v>Not Run</x:v>
      </x:c>
      <x:c r="K41" s="261" t="str">
        <x:v>Security MVC Test</x:v>
      </x:c>
      <x:c r="L41" s="261" t="str"/>
      <x:c r="M41" s="261" t="str"/>
    </x:row>
    <x:row r="42" ht="15" hidden="0" customHeight="1">
      <x:c r="A42" s="270" t="str">
        <x:v>UC-AUTH-04</x:v>
      </x:c>
      <x:c r="B42" s="270" t="str">
        <x:v>TS004</x:v>
      </x:c>
      <x:c r="C42" s="270" t="str">
        <x:v>SEC-007</x:v>
      </x:c>
      <x:c r="D42" s="261" t="str">
        <x:v>Auth mechanism</x:v>
      </x:c>
      <x:c r="E42" s="261" t="str">
        <x:v>SecurityConfig</x:v>
      </x:c>
      <x:c r="F42" s="261" t="str">
        <x:v>request ที่ไม่มี form login/basic credentials</x:v>
      </x:c>
      <x:c r="G42" s="261" t="str">
        <x:v>anonymous request</x:v>
      </x:c>
      <x:c r="H42" s="261" t="str">
        <x:v>formLogin และ httpBasic ถูก disable ตาม config</x:v>
      </x:c>
      <x:c r="I42" s="261" t="str">
        <x:v>Not Run</x:v>
      </x:c>
      <x:c r="J42" s="270" t="str">
        <x:v>Not Run</x:v>
      </x:c>
      <x:c r="K42" s="261" t="str">
        <x:v>Security MVC Test</x:v>
      </x:c>
      <x:c r="L42" s="261" t="str"/>
      <x:c r="M42" s="261" t="str"/>
    </x:row>
    <x:row r="43" ht="15" hidden="0" customHeight="1">
      <x:c r="A43" s="270" t="str">
        <x:v>UC-INT-01</x:v>
      </x:c>
      <x:c r="B43" s="270" t="str">
        <x:v>TS005</x:v>
      </x:c>
      <x:c r="C43" s="270" t="str">
        <x:v>INT-001</x:v>
      </x:c>
      <x:c r="D43" s="261" t="str">
        <x:v>Service: มีข้อมูล</x:v>
      </x:c>
      <x:c r="E43" s="261" t="str">
        <x:v>InterestService.allInterests</x:v>
      </x:c>
      <x:c r="F43" s="261" t="str">
        <x:v>repository คืน List&lt;Interest&gt;</x:v>
      </x:c>
      <x:c r="G43" s="261" t="str">
        <x:v>interestRepo.findAll() คืน list จำลอง</x:v>
      </x:c>
      <x:c r="H43" s="261" t="str">
        <x:v>คืน list เดียวกัน</x:v>
      </x:c>
      <x:c r="I43" s="261" t="str">
        <x:v>Not Run</x:v>
      </x:c>
      <x:c r="J43" s="270" t="str">
        <x:v>Not Run</x:v>
      </x:c>
      <x:c r="K43" s="261" t="str">
        <x:v>Unit test (JUnit 5 / Mockito)</x:v>
      </x:c>
      <x:c r="L43" s="261" t="str"/>
      <x:c r="M43" s="261" t="str"/>
    </x:row>
    <x:row r="44" ht="15" hidden="0" customHeight="1">
      <x:c r="A44" s="270" t="str">
        <x:v>UC-INT-01</x:v>
      </x:c>
      <x:c r="B44" s="270" t="str">
        <x:v>TS005</x:v>
      </x:c>
      <x:c r="C44" s="270" t="str">
        <x:v>INT-002</x:v>
      </x:c>
      <x:c r="D44" s="261" t="str">
        <x:v>Service: ไม่มีข้อมูล</x:v>
      </x:c>
      <x:c r="E44" s="261" t="str">
        <x:v>InterestService.allInterests</x:v>
      </x:c>
      <x:c r="F44" s="261" t="str">
        <x:v>repository คืน empty list</x:v>
      </x:c>
      <x:c r="G44" s="261" t="str">
        <x:v>interestRepo.findAll()=[]</x:v>
      </x:c>
      <x:c r="H44" s="261" t="str">
        <x:v>คืน empty list</x:v>
      </x:c>
      <x:c r="I44" s="261" t="str">
        <x:v>Not Run</x:v>
      </x:c>
      <x:c r="J44" s="270" t="str">
        <x:v>Not Run</x:v>
      </x:c>
      <x:c r="K44" s="261" t="str">
        <x:v>Unit test (JUnit 5 / Mockito)</x:v>
      </x:c>
      <x:c r="L44" s="261" t="str"/>
      <x:c r="M44" s="261" t="str"/>
    </x:row>
    <x:row r="45" ht="15" hidden="0" customHeight="1">
      <x:c r="A45" s="270" t="str">
        <x:v>UC-INT-01</x:v>
      </x:c>
      <x:c r="B45" s="270" t="str">
        <x:v>TS005</x:v>
      </x:c>
      <x:c r="C45" s="270" t="str">
        <x:v>INT-003</x:v>
      </x:c>
      <x:c r="D45" s="261" t="str">
        <x:v>API: มีข้อมูล</x:v>
      </x:c>
      <x:c r="E45" s="261" t="str">
        <x:v>InterestController.apiInterestAll</x:v>
      </x:c>
      <x:c r="F45" s="261" t="str">
        <x:v>GET /api/interest</x:v>
      </x:c>
      <x:c r="G45" s="261" t="str">
        <x:v>InterestService คืน list จำลอง</x:v>
      </x:c>
      <x:c r="H45" s="261" t="str">
        <x:v>200 OK + list payload</x:v>
      </x:c>
      <x:c r="I45" s="261" t="str">
        <x:v>Not Run</x:v>
      </x:c>
      <x:c r="J45" s="270" t="str">
        <x:v>Not Run</x:v>
      </x:c>
      <x:c r="K45" s="261" t="str">
        <x:v>MVC Slice Test</x:v>
      </x:c>
      <x:c r="L45" s="261" t="str"/>
      <x:c r="M45" s="261" t="str"/>
    </x:row>
    <x:row r="46" ht="15" hidden="0" customHeight="1">
      <x:c r="A46" s="270" t="str">
        <x:v>UC-INT-01</x:v>
      </x:c>
      <x:c r="B46" s="270" t="str">
        <x:v>TS005</x:v>
      </x:c>
      <x:c r="C46" s="270" t="str">
        <x:v>INT-004</x:v>
      </x:c>
      <x:c r="D46" s="261" t="str">
        <x:v>API: ไม่มีข้อมูล</x:v>
      </x:c>
      <x:c r="E46" s="261" t="str">
        <x:v>InterestController.apiInterestAll</x:v>
      </x:c>
      <x:c r="F46" s="261" t="str">
        <x:v>GET /api/interest</x:v>
      </x:c>
      <x:c r="G46" s="261" t="str">
        <x:v>InterestService คืน empty list</x:v>
      </x:c>
      <x:c r="H46" s="261" t="str">
        <x:v>200 OK + []</x:v>
      </x:c>
      <x:c r="I46" s="261" t="str">
        <x:v>Not Run</x:v>
      </x:c>
      <x:c r="J46" s="270" t="str">
        <x:v>Not Run</x:v>
      </x:c>
      <x:c r="K46" s="261" t="str">
        <x:v>MVC Slice Test</x:v>
      </x:c>
      <x:c r="L46" s="261" t="str"/>
      <x:c r="M46" s="261" t="str"/>
    </x:row>
    <x:row r="47" ht="15" hidden="0" customHeight="1">
      <x:c r="A47" s="270" t="str">
        <x:v>UC-WEB-01</x:v>
      </x:c>
      <x:c r="B47" s="270" t="str">
        <x:v>TS006</x:v>
      </x:c>
      <x:c r="C47" s="270" t="str">
        <x:v>WEB-001</x:v>
      </x:c>
      <x:c r="D47" s="261" t="str">
        <x:v>Page smoke</x:v>
      </x:c>
      <x:c r="E47" s="261" t="str">
        <x:v>PageController / frontend</x:v>
      </x:c>
      <x:c r="F47" s="261" t="str">
        <x:v>GET /login</x:v>
      </x:c>
      <x:c r="G47" s="261" t="str">
        <x:v>รอ templates บน develop</x:v>
      </x:c>
      <x:c r="H47" s="261" t="str">
        <x:v>หน้า login เปิดได้เมื่อ Frontend พร้อม</x:v>
      </x:c>
      <x:c r="I47" s="261" t="str">
        <x:v>Not Run</x:v>
      </x:c>
      <x:c r="J47" s="270" t="str">
        <x:v>Waiting Frontend</x:v>
      </x:c>
      <x:c r="K47" s="261" t="str">
        <x:v>Web-context Smoke Test</x:v>
      </x:c>
      <x:c r="L47" s="261" t="str"/>
      <x:c r="M47" s="261" t="str">
        <x:v>ยังไม่รันจน Frontend อยู่ใน develop</x:v>
      </x:c>
    </x:row>
    <x:row r="48" ht="15" hidden="0" customHeight="1">
      <x:c r="A48" s="270" t="str">
        <x:v>UC-WEB-01</x:v>
      </x:c>
      <x:c r="B48" s="270" t="str">
        <x:v>TS006</x:v>
      </x:c>
      <x:c r="C48" s="270" t="str">
        <x:v>WEB-002</x:v>
      </x:c>
      <x:c r="D48" s="261" t="str">
        <x:v>Page smoke</x:v>
      </x:c>
      <x:c r="E48" s="261" t="str">
        <x:v>PageController / frontend</x:v>
      </x:c>
      <x:c r="F48" s="261" t="str">
        <x:v>GET /register</x:v>
      </x:c>
      <x:c r="G48" s="261" t="str">
        <x:v>รอ templates บน develop</x:v>
      </x:c>
      <x:c r="H48" s="261" t="str">
        <x:v>หน้า register เปิดได้เมื่อ Frontend พร้อม</x:v>
      </x:c>
      <x:c r="I48" s="261" t="str">
        <x:v>Not Run</x:v>
      </x:c>
      <x:c r="J48" s="270" t="str">
        <x:v>Waiting Frontend</x:v>
      </x:c>
      <x:c r="K48" s="261" t="str">
        <x:v>Web-context Smoke Test</x:v>
      </x:c>
      <x:c r="L48" s="261" t="str"/>
      <x:c r="M48" s="261" t="str"/>
    </x:row>
    <x:row r="49" ht="15" hidden="0" customHeight="1">
      <x:c r="A49" s="270" t="str">
        <x:v>UC-WEB-01</x:v>
      </x:c>
      <x:c r="B49" s="270" t="str">
        <x:v>TS006</x:v>
      </x:c>
      <x:c r="C49" s="270" t="str">
        <x:v>WEB-003</x:v>
      </x:c>
      <x:c r="D49" s="261" t="str">
        <x:v>Page smoke</x:v>
      </x:c>
      <x:c r="E49" s="261" t="str">
        <x:v>PageController / frontend</x:v>
      </x:c>
      <x:c r="F49" s="261" t="str">
        <x:v>GET /home</x:v>
      </x:c>
      <x:c r="G49" s="261" t="str">
        <x:v>รอ templates บน develop</x:v>
      </x:c>
      <x:c r="H49" s="261" t="str">
        <x:v>หน้า home เปิดได้ตาม route/config ปัจจุบัน</x:v>
      </x:c>
      <x:c r="I49" s="261" t="str">
        <x:v>Not Run</x:v>
      </x:c>
      <x:c r="J49" s="270" t="str">
        <x:v>Waiting Frontend</x:v>
      </x:c>
      <x:c r="K49" s="261" t="str">
        <x:v>Web-context Smoke Test</x:v>
      </x:c>
      <x:c r="L49" s="261" t="str"/>
      <x:c r="M49" s="261" t="str"/>
    </x:row>
    <x:row r="50" ht="15" hidden="0" customHeight="1">
      <x:c r="A50" s="270" t="str">
        <x:v>UC-WEB-01</x:v>
      </x:c>
      <x:c r="B50" s="270" t="str">
        <x:v>TS006</x:v>
      </x:c>
      <x:c r="C50" s="270" t="str">
        <x:v>WEB-004</x:v>
      </x:c>
      <x:c r="D50" s="261" t="str">
        <x:v>Static resources</x:v>
      </x:c>
      <x:c r="E50" s="261" t="str">
        <x:v>static resources</x:v>
      </x:c>
      <x:c r="F50" s="261" t="str">
        <x:v>GET CSS/JS/images ที่ Frontend ใช้</x:v>
      </x:c>
      <x:c r="G50" s="261" t="str">
        <x:v>รอ static files บน develop</x:v>
      </x:c>
      <x:c r="H50" s="261" t="str">
        <x:v>ไฟล์ static ที่อ้างอิงถูก serve ได้</x:v>
      </x:c>
      <x:c r="I50" s="261" t="str">
        <x:v>Not Run</x:v>
      </x:c>
      <x:c r="J50" s="270" t="str">
        <x:v>Waiting Frontend</x:v>
      </x:c>
      <x:c r="K50" s="261" t="str">
        <x:v>Web-context Smoke Test</x:v>
      </x:c>
      <x:c r="L50" s="261" t="str"/>
      <x:c r="M50" s="261" t="str"/>
    </x:row>
    <x:row r="51" ht="26.399999618530273" hidden="0" customHeight="1">
      <x:c r="A51" s="271" t="str">
        <x:v>UC-WEB-01</x:v>
      </x:c>
      <x:c r="B51" s="271" t="str">
        <x:v>TS006</x:v>
      </x:c>
      <x:c r="C51" s="271" t="str">
        <x:v>WEB-005</x:v>
      </x:c>
      <x:c r="D51" s="268" t="str">
        <x:v>Frontend ↔ API</x:v>
      </x:c>
      <x:c r="E51" s="268" t="str">
        <x:v>Frontend JS + Auth API</x:v>
      </x:c>
      <x:c r="F51" s="268" t="str">
        <x:v>register/login/logout/session flow</x:v>
      </x:c>
      <x:c r="G51" s="268" t="str">
        <x:v>รอ JS wiring กับ API</x:v>
      </x:c>
      <x:c r="H51" s="268" t="str">
        <x:v>Frontend เรียก API และจัดการ response/session ตาม requirement ที่ทีมยืนยัน</x:v>
      </x:c>
      <x:c r="I51" s="268" t="str">
        <x:v>Not Run</x:v>
      </x:c>
      <x:c r="J51" s="271" t="str">
        <x:v>Waiting Frontend</x:v>
      </x:c>
      <x:c r="K51" s="268" t="str">
        <x:v>Integration / Browser follow-up</x:v>
      </x:c>
      <x:c r="L51" s="268" t="str"/>
      <x:c r="M51" s="268" t="str"/>
    </x:row>
    <x:row r="52" ht="15" hidden="0" customHeight="1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 ht="15" hidden="0" customHeight="1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 ht="15" hidden="0" customHeight="1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 ht="15" hidden="0" customHeight="1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 ht="15" hidden="0" customHeight="1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 ht="15" hidden="0" customHeight="1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 ht="15" hidden="0" customHeight="1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 ht="15" hidden="0" customHeight="1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 ht="15" hidden="0" customHeight="1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 ht="15" hidden="0" customHeight="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 ht="15" hidden="0" customHeight="1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 ht="15" hidden="0" customHeight="1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 ht="15" hidden="0" customHeight="1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 ht="15" hidden="0" customHeight="1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 ht="15" hidden="0" customHeight="1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 ht="15" hidden="0" customHeight="1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 ht="15" hidden="0" customHeight="1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 ht="15" hidden="0" customHeight="1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 ht="15" hidden="0" customHeight="1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M1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/api/auth/register + malformed JSON | AuthService ต้องไม่ถูกเรียก</x:v>
      </x:c>
      <x:c r="D18" s="257" t="str">
        <x:v>400 Bad Request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/api/auth/login + malformed JSON | AuthService ต้องไม่ถูกเรียก</x:v>
      </x:c>
      <x:c r="D19" s="257" t="str">
        <x:v>400 Bad Request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POST /api/auth/login + valid JSON | AuthService.login คืน User</x:v>
      </x:c>
      <x:c r="D20" s="264" t="str">
        <x:v>response ไม่มี password, passwordHash หรือ password_hash</x:v>
      </x:c>
      <x:c r="E20" s="271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route ถูก permitAll ตาม config ปัจจุบัน</x:v>
      </x:c>
      <x:c r="E13" s="269" t="str">
        <x:v>Not Run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GET/POST /api/** | anonymous request</x:v>
      </x:c>
      <x:c r="D14" s="257" t="str">
        <x:v>API ถูก permitAll ตาม config ปัจจุบัน</x:v>
      </x:c>
      <x:c r="E14" s="270" t="str">
        <x:v>Not Run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/api/auth/login/register/logout ไม่มี CSRF token | anonymous/request ตามกรณี</x:v>
      </x:c>
      <x:c r="D15" s="257" t="str">
        <x:v>ไม่ถูกบล็อกจาก CSRF เพราะ /api/** ถูก ignore</x:v>
      </x:c>
      <x:c r="E15" s="270" t="str">
        <x:v>Not Run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/swagger-ui/** หรือ /v3/api-docs/** | anonymous request</x:v>
      </x:c>
      <x:c r="D16" s="257" t="str">
        <x:v>route ถูก permitAll</x:v>
      </x:c>
      <x:c r="E16" s="270" t="str">
        <x:v>Not Run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/css/** /js/** /images/** /favicon.ico | anonymous request</x:v>
      </x:c>
      <x:c r="D17" s="257" t="str">
        <x:v>security ไม่บล็อก route เหล่านี้; resource existence ทดสอบภายหลัง</x:v>
      </x:c>
      <x:c r="E17" s="270" t="str">
        <x:v>Not Run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path ที่ไม่อยู่ใน permitAll | anonymous request</x:v>
      </x:c>
      <x:c r="D18" s="257" t="str">
        <x:v>ต้อง authenticated / ถูกปฏิเสธตาม Spring Security</x:v>
      </x:c>
      <x:c r="E18" s="270" t="str">
        <x:v>Not Run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request ที่ไม่มี form login/basic credentials | anonymous request</x:v>
      </x:c>
      <x:c r="D19" s="264" t="str">
        <x:v>formLogin และ httpBasic ถูก disable ตาม config</x:v>
      </x:c>
      <x:c r="E19" s="271" t="str">
        <x:v>Not Run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MVC: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Not Run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Not Run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list payload</x:v>
      </x:c>
      <x:c r="E15" s="270" t="str">
        <x:v>Not Run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[]</x:v>
      </x:c>
      <x:c r="E16" s="271" t="str">
        <x:v>Not Run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TS006  Web Flow / Static Resources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TS006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UC-WEB-01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PageController + Frontend resources + Authentication flow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Web-context Integration / Smoke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@SpringBootTest + @AutoConfigureMockMvc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Frontend templates/static files ต้องอยู่ใน develop ก่อนเริ่มรัน scenario นี้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กำหนดภายหลังตามโครง Frontend/Backend ที่ merge แล้ว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กำหนดหลัง Frontend พร้อม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WEB-001</x:v>
      </x:c>
      <x:c r="B13" s="248" t="str">
        <x:v>Page smoke</x:v>
      </x:c>
      <x:c r="C13" s="249" t="str">
        <x:v>GET /login | รอ templates บน develop</x:v>
      </x:c>
      <x:c r="D13" s="250" t="str">
        <x:v>หน้า login เปิดได้เมื่อ Frontend พร้อม</x:v>
      </x:c>
      <x:c r="E13" s="269" t="str">
        <x:v>Waiting Frontend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WEB-002</x:v>
      </x:c>
      <x:c r="B14" s="255" t="str">
        <x:v>Page smoke</x:v>
      </x:c>
      <x:c r="C14" s="256" t="str">
        <x:v>GET /register | รอ templates บน develop</x:v>
      </x:c>
      <x:c r="D14" s="257" t="str">
        <x:v>หน้า register เปิดได้เมื่อ Frontend พร้อม</x:v>
      </x:c>
      <x:c r="E14" s="270" t="str">
        <x:v>Waiting Frontend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WEB-003</x:v>
      </x:c>
      <x:c r="B15" s="255" t="str">
        <x:v>Page smoke</x:v>
      </x:c>
      <x:c r="C15" s="256" t="str">
        <x:v>GET /home | รอ templates บน develop</x:v>
      </x:c>
      <x:c r="D15" s="257" t="str">
        <x:v>หน้า home เปิดได้ตาม route/config ปัจจุบัน</x:v>
      </x:c>
      <x:c r="E15" s="270" t="str">
        <x:v>Waiting Frontend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WEB-004</x:v>
      </x:c>
      <x:c r="B16" s="255" t="str">
        <x:v>Static resources</x:v>
      </x:c>
      <x:c r="C16" s="256" t="str">
        <x:v>GET CSS/JS/images ที่ Frontend ใช้ | รอ static files บน develop</x:v>
      </x:c>
      <x:c r="D16" s="257" t="str">
        <x:v>ไฟล์ static ที่อ้างอิงถูก serve ได้</x:v>
      </x:c>
      <x:c r="E16" s="270" t="str">
        <x:v>Waiting Frontend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26.399999618530273" hidden="0" customHeight="1">
      <x:c r="A17" s="271" t="str">
        <x:v>WEB-005</x:v>
      </x:c>
      <x:c r="B17" s="262" t="str">
        <x:v>Frontend ↔ API</x:v>
      </x:c>
      <x:c r="C17" s="263" t="str">
        <x:v>register/login/logout/session flow | รอ JS wiring กับ API</x:v>
      </x:c>
      <x:c r="D17" s="264" t="str">
        <x:v>Frontend เรียก API และจัดการ response/session ตาม requirement ที่ทีมยืนยัน</x:v>
      </x:c>
      <x:c r="E17" s="271" t="str">
        <x:v>Waiting Frontend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43" t="str">
        <x:v>Defect Summary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>
      <x:c r="A4" s="275" t="str"/>
      <x:c r="B4" s="276" t="str"/>
      <x:c r="C4" s="276" t="str"/>
      <x:c r="D4" s="276" t="str"/>
      <x:c r="E4" s="276" t="str"/>
      <x:c r="F4" s="276" t="str"/>
      <x:c r="G4" s="276" t="str"/>
      <x:c r="H4" s="277" t="str">
        <x:v>Not Run</x:v>
      </x:c>
      <x:c r="I4" s="276" t="str"/>
      <x:c r="J4" s="276" t="str"/>
      <x:c r="K4" s="278" t="str"/>
      <x:c r="L4" s="244"/>
      <x:c r="M4" s="244"/>
    </x:row>
    <x:row r="5">
      <x:c r="A5" s="244"/>
      <x:c r="B5" s="244"/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>
      <x:c r="A6" s="244"/>
      <x:c r="B6" s="244"/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6.799999237060547" hidden="0" customHeight="1">
      <x:c r="A1" s="243" t="str">
        <x:v>Test Summary Report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Item</x:v>
      </x:c>
      <x:c r="B3" s="247" t="str">
        <x:v>Result</x:v>
      </x:c>
      <x:c r="C3" s="244"/>
      <x:c r="D3" s="245" t="str">
        <x:v>Run</x:v>
      </x:c>
      <x:c r="E3" s="246" t="str">
        <x:v>Result</x:v>
      </x:c>
      <x:c r="F3" s="247" t="str">
        <x:v>Time</x:v>
      </x:c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2" t="str">
        <x:v>Baseline Branch</x:v>
      </x:c>
      <x:c r="B4" s="269" t="str">
        <x:v>develop</x:v>
      </x:c>
      <x:c r="C4" s="244"/>
      <x:c r="D4" s="279" t="str">
        <x:v>REG-001</x:v>
      </x:c>
      <x:c r="E4" s="280" t="str">
        <x:v>1/1 Pass</x:v>
      </x:c>
      <x:c r="F4" s="281" t="str">
        <x:v>57.402 s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Designed Test Cases</x:v>
      </x:c>
      <x:c r="B5" s="270" t="n">
        <x:f>COUNTA('Test Case Design &amp; Test Results'!$C$4:$C$80)</x:f>
        <x:v>48</x:v>
      </x:c>
      <x:c r="C5" s="244"/>
      <x:c r="D5" s="244" t="str">
        <x:v>TS001</x:v>
      </x:c>
      <x:c r="E5" s="244" t="str">
        <x:v>13/13 Pass</x:v>
      </x:c>
      <x:c r="F5" s="244" t="str">
        <x:v>44.031 s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Executed</x:v>
      </x:c>
      <x:c r="B6" s="270" t="n">
        <x:f>COUNTIF('Test Case Design &amp; Test Results'!$J$4:$J$80,"Pass")+COUNTIF('Test Case Design &amp; Test Results'!$J$4:$J$80,"Fail")+COUNTIF('Test Case Design &amp; Test Results'!$J$4:$J$80,"Blocked")</x:f>
        <x:v>32</x:v>
      </x:c>
      <x:c r="C6" s="244"/>
      <x:c r="D6" s="244" t="str">
        <x:v>TS002</x:v>
      </x:c>
      <x:c r="E6" s="244" t="str">
        <x:v>11/11 Pass</x:v>
      </x:c>
      <x:c r="F6" s="244" t="str">
        <x:v>25.561 s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Pass</x:v>
      </x:c>
      <x:c r="B7" s="270" t="n">
        <x:f>COUNTIF('Test Case Design &amp; Test Results'!$J$4:$J$80,"Pass")</x:f>
        <x:v>32</x:v>
      </x:c>
      <x:c r="C7" s="244"/>
      <x:c r="D7" s="244" t="str">
        <x:v>TS003</x:v>
      </x:c>
      <x:c r="E7" s="244" t="str">
        <x:v>8/8 Pass</x:v>
      </x:c>
      <x:c r="F7" s="244" t="str">
        <x:v>30.715 s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Fail</x:v>
      </x:c>
      <x:c r="B8" s="270" t="n">
        <x:f>COUNTIF('Test Case Design &amp; Test Results'!$J$4:$J$80,"Fail")</x:f>
        <x:v>0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4" t="str">
        <x:v>Not Run / Waiting</x:v>
      </x:c>
      <x:c r="B9" s="271" t="n">
        <x:f>COUNTIF('Test Case Design &amp; Test Results'!$J$4:$J$80,"Not Run")+COUNTIF('Test Case Design &amp; Test Results'!$J$4:$J$80,"Waiting Frontend")</x:f>
        <x:v>16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 ht="16.799999237060547" hidden="0" customHeight="1">
      <x:c r="A1" s="243" t="str">
        <x:v>Execution Log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Run ID</x:v>
      </x:c>
      <x:c r="B3" s="246" t="str">
        <x:v>Date / Time</x:v>
      </x:c>
      <x:c r="C3" s="246" t="str">
        <x:v>Test</x:v>
      </x:c>
      <x:c r="D3" s="246" t="str">
        <x:v>Tests</x:v>
      </x:c>
      <x:c r="E3" s="246" t="str">
        <x:v>Pass</x:v>
      </x:c>
      <x:c r="F3" s="246" t="str">
        <x:v>Fail</x:v>
      </x:c>
      <x:c r="G3" s="246" t="str">
        <x:v>Error / Skipped</x:v>
      </x:c>
      <x:c r="H3" s="247" t="str">
        <x:v>Build</x:v>
      </x:c>
      <x:c r="I3" s="244"/>
      <x:c r="J3" s="244"/>
      <x:c r="K3" s="244"/>
      <x:c r="L3" s="244"/>
      <x:c r="M3" s="244"/>
    </x:row>
    <x:row r="4" ht="15" hidden="0" customHeight="1">
      <x:c r="A4" s="275" t="str">
        <x:v>REG-001</x:v>
      </x:c>
      <x:c r="B4" s="276" t="str">
        <x:v>2026-10-01 15:58:35 +07:00</x:v>
      </x:c>
      <x:c r="C4" s="278" t="str">
        <x:v>AuthServiceRegisterTest.register_validData_savesUser</x:v>
      </x:c>
      <x:c r="D4" s="279" t="n">
        <x:v>1</x:v>
      </x:c>
      <x:c r="E4" s="280" t="n">
        <x:v>1</x:v>
      </x:c>
      <x:c r="F4" s="280" t="n">
        <x:v>0</x:v>
      </x:c>
      <x:c r="G4" s="280" t="str">
        <x:v>0 / 0</x:v>
      </x:c>
      <x:c r="H4" s="281" t="str">
        <x:v>BUILD SUCCESS</x:v>
      </x:c>
      <x:c r="I4" s="244"/>
      <x:c r="J4" s="244"/>
      <x:c r="K4" s="244"/>
      <x:c r="L4" s="244"/>
      <x:c r="M4" s="244"/>
    </x:row>
    <x:row r="5" ht="15" hidden="0" customHeight="1">
      <x:c r="A5" s="244" t="str">
        <x:v>TS001</x:v>
      </x:c>
      <x:c r="B5" s="244" t="str">
        <x:v>2026-10-01 16:21:52 +07:00</x:v>
      </x:c>
      <x:c r="C5" s="244" t="str">
        <x:v>AuthServiceRegisterTest</x:v>
      </x:c>
      <x:c r="D5" s="244" t="n">
        <x:v>13</x:v>
      </x:c>
      <x:c r="E5" s="244" t="n">
        <x:v>13</x:v>
      </x:c>
      <x:c r="F5" s="244" t="n">
        <x:v>0</x:v>
      </x:c>
      <x:c r="G5" s="244" t="str">
        <x:v>0 / 0</x:v>
      </x:c>
      <x:c r="H5" s="244" t="str">
        <x:v>BUILD SUCCESS</x:v>
      </x:c>
      <x:c r="I5" s="244"/>
      <x:c r="J5" s="244"/>
      <x:c r="K5" s="244"/>
      <x:c r="L5" s="244"/>
      <x:c r="M5" s="244"/>
    </x:row>
    <x:row r="6" ht="15" hidden="0" customHeight="1">
      <x:c r="A6" s="244" t="str">
        <x:v>TS002</x:v>
      </x:c>
      <x:c r="B6" s="244" t="str">
        <x:v>2026-10-01 16:29:59 +07:00</x:v>
      </x:c>
      <x:c r="C6" s="244" t="str">
        <x:v>AuthServiceLoginTest</x:v>
      </x:c>
      <x:c r="D6" s="244" t="n">
        <x:v>11</x:v>
      </x:c>
      <x:c r="E6" s="244" t="n">
        <x:v>11</x:v>
      </x:c>
      <x:c r="F6" s="244" t="n">
        <x:v>0</x:v>
      </x:c>
      <x:c r="G6" s="244" t="str">
        <x:v>0 / 0</x:v>
      </x:c>
      <x:c r="H6" s="244" t="str">
        <x:v>BUILD SUCCESS</x:v>
      </x:c>
      <x:c r="I6" s="244"/>
      <x:c r="J6" s="244"/>
      <x:c r="K6" s="244"/>
      <x:c r="L6" s="244"/>
      <x:c r="M6" s="244"/>
    </x:row>
    <x:row r="7" ht="15" hidden="0" customHeight="1">
      <x:c r="A7" s="244" t="str">
        <x:v>TS003</x:v>
      </x:c>
      <x:c r="B7" s="244" t="str">
        <x:v>2026-10-01 16:43:40 +07:00</x:v>
      </x:c>
      <x:c r="C7" s="244" t="str">
        <x:v>AuthControllerMvcTest</x:v>
      </x:c>
      <x:c r="D7" s="244" t="n">
        <x:v>8</x:v>
      </x:c>
      <x:c r="E7" s="244" t="n">
        <x:v>8</x:v>
      </x:c>
      <x:c r="F7" s="244" t="n">
        <x:v>0</x:v>
      </x:c>
      <x:c r="G7" s="244" t="str">
        <x:v>0 / 0</x:v>
      </x:c>
      <x:c r="H7" s="244" t="str">
        <x:v>BUILD SUCCESS</x:v>
      </x:c>
      <x:c r="I7" s="244"/>
      <x:c r="J7" s="244"/>
      <x:c r="K7" s="244"/>
      <x:c r="L7" s="244"/>
      <x:c r="M7" s="244"/>
    </x:row>
    <x:row r="8" ht="15" hidden="0" customHeight="1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18" hidden="0" customWidth="1"/>
    <x:col min="5" max="5" width="38" hidden="0" customWidth="1"/>
    <x:col min="6" max="6" width="24" hidden="0" customWidth="1"/>
    <x:col min="7" max="7" width="12" hidden="0" customWidth="1"/>
    <x:col min="8" max="8" width="44" hidden="0" customWidth="1"/>
  </x:cols>
  <x:sheetData>
    <x:row r="1" ht="16.799999237060547" hidden="0" customHeight="1">
      <x:c r="A1" s="243" t="str">
        <x:v>TS002 Login - Decision Table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Rule</x:v>
      </x:c>
      <x:c r="B3" s="246" t="str">
        <x:v>Email exists</x:v>
      </x:c>
      <x:c r="C3" s="246" t="str">
        <x:v>Account ACTIVE</x:v>
      </x:c>
      <x:c r="D3" s="246" t="str">
        <x:v>Password correct</x:v>
      </x:c>
      <x:c r="E3" s="246" t="str">
        <x:v>Expected action</x:v>
      </x:c>
      <x:c r="F3" s="246" t="str">
        <x:v>Test Case ID</x:v>
      </x:c>
      <x:c r="G3" s="246" t="str">
        <x:v>Result</x:v>
      </x:c>
      <x:c r="H3" s="247" t="str">
        <x:v>JUnit Method</x:v>
      </x:c>
      <x:c r="I3" s="244"/>
      <x:c r="J3" s="244"/>
      <x:c r="K3" s="244"/>
      <x:c r="L3" s="244"/>
      <x:c r="M3" s="244"/>
    </x:row>
    <x:row r="4" ht="15" hidden="0" customHeight="1">
      <x:c r="A4" s="251" t="str">
        <x:v>R1</x:v>
      </x:c>
      <x:c r="B4" s="252" t="str">
        <x:v>Y</x:v>
      </x:c>
      <x:c r="C4" s="252" t="str">
        <x:v>Y</x:v>
      </x:c>
      <x:c r="D4" s="253" t="str">
        <x:v>Y</x:v>
      </x:c>
      <x:c r="E4" s="254" t="str">
        <x:v>Login success</x:v>
      </x:c>
      <x:c r="F4" s="251" t="str">
        <x:v>LOGIN-001</x:v>
      </x:c>
      <x:c r="G4" s="253" t="str">
        <x:v>Pass</x:v>
      </x:c>
      <x:c r="H4" s="254" t="str">
        <x:v>login_validCredentials_returnsUser</x:v>
      </x:c>
      <x:c r="I4" s="244"/>
      <x:c r="J4" s="244"/>
      <x:c r="K4" s="244"/>
      <x:c r="L4" s="244"/>
      <x:c r="M4" s="244"/>
    </x:row>
    <x:row r="5" ht="15" hidden="0" customHeight="1">
      <x:c r="A5" s="258" t="str">
        <x:v>R2</x:v>
      </x:c>
      <x:c r="B5" s="286" t="str">
        <x:v>N</x:v>
      </x:c>
      <x:c r="C5" s="286" t="str">
        <x:v>-</x:v>
      </x:c>
      <x:c r="D5" s="260" t="str">
        <x:v>-</x:v>
      </x:c>
      <x:c r="E5" s="261" t="str">
        <x:v>Reject: Invalid email or password</x:v>
      </x:c>
      <x:c r="F5" s="258" t="str">
        <x:v>LOGIN-007</x:v>
      </x:c>
      <x:c r="G5" s="260" t="str">
        <x:v>Pass</x:v>
      </x:c>
      <x:c r="H5" s="261" t="str">
        <x:v>login_unknownEmail_rejected</x:v>
      </x:c>
      <x:c r="I5" s="244"/>
      <x:c r="J5" s="244"/>
      <x:c r="K5" s="244"/>
      <x:c r="L5" s="244"/>
      <x:c r="M5" s="244"/>
    </x:row>
    <x:row r="6" ht="26.399999618530273" hidden="0" customHeight="1">
      <x:c r="A6" s="258" t="str">
        <x:v>R3</x:v>
      </x:c>
      <x:c r="B6" s="286" t="str">
        <x:v>Y</x:v>
      </x:c>
      <x:c r="C6" s="286" t="str">
        <x:v>N</x:v>
      </x:c>
      <x:c r="D6" s="260" t="str">
        <x:v>-</x:v>
      </x:c>
      <x:c r="E6" s="261" t="str">
        <x:v>Reject: User account is not active</x:v>
      </x:c>
      <x:c r="F6" s="258" t="str">
        <x:v>LOGIN-008 / LOGIN-011</x:v>
      </x:c>
      <x:c r="G6" s="260" t="str">
        <x:v>Pass</x:v>
      </x:c>
      <x:c r="H6" s="261" t="str">
        <x:v>login_blockedAccount_rejected / login_blockedAccount_doesNotCheckPassword</x:v>
      </x:c>
      <x:c r="I6" s="244"/>
      <x:c r="J6" s="244"/>
      <x:c r="K6" s="244"/>
      <x:c r="L6" s="244"/>
      <x:c r="M6" s="244"/>
    </x:row>
    <x:row r="7" ht="15" hidden="0" customHeight="1">
      <x:c r="A7" s="265" t="str">
        <x:v>R4</x:v>
      </x:c>
      <x:c r="B7" s="266" t="str">
        <x:v>Y</x:v>
      </x:c>
      <x:c r="C7" s="266" t="str">
        <x:v>Y</x:v>
      </x:c>
      <x:c r="D7" s="267" t="str">
        <x:v>N</x:v>
      </x:c>
      <x:c r="E7" s="268" t="str">
        <x:v>Reject: Invalid email or password</x:v>
      </x:c>
      <x:c r="F7" s="265" t="str">
        <x:v>LOGIN-009</x:v>
      </x:c>
      <x:c r="G7" s="267" t="str">
        <x:v>Pass</x:v>
      </x:c>
      <x:c r="H7" s="268" t="str">
        <x:v>login_wrongPassword_rejected</x:v>
      </x:c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26.399999618530273" hidden="0" customHeight="1">
      <x:c r="A9" s="245" t="str">
        <x:v>Validation cases</x:v>
      </x:c>
      <x:c r="B9" s="246" t="str">
        <x:v>Request</x:v>
      </x:c>
      <x:c r="C9" s="246" t="str">
        <x:v>Email</x:v>
      </x:c>
      <x:c r="D9" s="246" t="str">
        <x:v>Password</x:v>
      </x:c>
      <x:c r="E9" s="246" t="str">
        <x:v>Expected</x:v>
      </x:c>
      <x:c r="F9" s="246" t="str">
        <x:v>Test Case ID</x:v>
      </x:c>
      <x:c r="G9" s="246" t="str">
        <x:v>Result</x:v>
      </x:c>
      <x:c r="H9" s="247" t="str">
        <x:v>Method</x:v>
      </x:c>
      <x:c r="I9" s="244"/>
      <x:c r="J9" s="244"/>
      <x:c r="K9" s="244"/>
      <x:c r="L9" s="244"/>
      <x:c r="M9" s="244"/>
    </x:row>
    <x:row r="10" ht="15" hidden="0" customHeight="1">
      <x:c r="A10" s="251" t="str">
        <x:v>V1</x:v>
      </x:c>
      <x:c r="B10" s="252" t="str">
        <x:v>null</x:v>
      </x:c>
      <x:c r="C10" s="252" t="str">
        <x:v>-</x:v>
      </x:c>
      <x:c r="D10" s="253" t="str">
        <x:v>-</x:v>
      </x:c>
      <x:c r="E10" s="254" t="str">
        <x:v>Reject: Login request is required</x:v>
      </x:c>
      <x:c r="F10" s="251" t="str">
        <x:v>LOGIN-002</x:v>
      </x:c>
      <x:c r="G10" s="253" t="str">
        <x:v>Pass</x:v>
      </x:c>
      <x:c r="H10" s="254" t="str">
        <x:v>login_nullRequest_rejected</x:v>
      </x:c>
      <x:c r="I10" s="244"/>
      <x:c r="J10" s="244"/>
      <x:c r="K10" s="244"/>
      <x:c r="L10" s="244"/>
      <x:c r="M10" s="244"/>
    </x:row>
    <x:row r="11" ht="15" hidden="0" customHeight="1">
      <x:c r="A11" s="258" t="str">
        <x:v>V2</x:v>
      </x:c>
      <x:c r="B11" s="286" t="str">
        <x:v>present</x:v>
      </x:c>
      <x:c r="C11" s="286" t="str">
        <x:v>null/blank</x:v>
      </x:c>
      <x:c r="D11" s="260" t="str">
        <x:v>-</x:v>
      </x:c>
      <x:c r="E11" s="261" t="str">
        <x:v>Reject: Email is required</x:v>
      </x:c>
      <x:c r="F11" s="258" t="str">
        <x:v>LOGIN-003 / LOGIN-004</x:v>
      </x:c>
      <x:c r="G11" s="260" t="str">
        <x:v>Pass</x:v>
      </x:c>
      <x:c r="H11" s="261" t="str">
        <x:v>login_nullEmail_rejected / login_blankEmail_rejected</x:v>
      </x:c>
      <x:c r="I11" s="244"/>
      <x:c r="J11" s="244"/>
      <x:c r="K11" s="244"/>
      <x:c r="L11" s="244"/>
      <x:c r="M11" s="244"/>
    </x:row>
    <x:row r="12" ht="26.399999618530273" hidden="0" customHeight="1">
      <x:c r="A12" s="258" t="str">
        <x:v>V3</x:v>
      </x:c>
      <x:c r="B12" s="286" t="str">
        <x:v>present</x:v>
      </x:c>
      <x:c r="C12" s="286" t="str">
        <x:v>valid</x:v>
      </x:c>
      <x:c r="D12" s="260" t="str">
        <x:v>null/blank</x:v>
      </x:c>
      <x:c r="E12" s="261" t="str">
        <x:v>Reject: Password is required</x:v>
      </x:c>
      <x:c r="F12" s="258" t="str">
        <x:v>LOGIN-005 / LOGIN-006</x:v>
      </x:c>
      <x:c r="G12" s="260" t="str">
        <x:v>Pass</x:v>
      </x:c>
      <x:c r="H12" s="261" t="str">
        <x:v>login_nullPassword_rejected / login_blankPassword_rejected</x:v>
      </x:c>
      <x:c r="I12" s="244"/>
      <x:c r="J12" s="244"/>
      <x:c r="K12" s="244"/>
      <x:c r="L12" s="244"/>
      <x:c r="M12" s="244"/>
    </x:row>
    <x:row r="13" ht="15" hidden="0" customHeight="1">
      <x:c r="A13" s="265" t="str">
        <x:v>V4</x:v>
      </x:c>
      <x:c r="B13" s="266" t="str">
        <x:v>present</x:v>
      </x:c>
      <x:c r="C13" s="266" t="str">
        <x:v>spaced uppercase</x:v>
      </x:c>
      <x:c r="D13" s="267" t="str">
        <x:v>valid</x:v>
      </x:c>
      <x:c r="E13" s="268" t="str">
        <x:v>Normalize email before lookup</x:v>
      </x:c>
      <x:c r="F13" s="265" t="str">
        <x:v>LOGIN-010</x:v>
      </x:c>
      <x:c r="G13" s="267" t="str">
        <x:v>Pass</x:v>
      </x:c>
      <x:c r="H13" s="268" t="str">
        <x:v>login_spacedUppercaseEmail_normalized</x:v>
      </x:c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