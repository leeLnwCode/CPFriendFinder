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30d8fdfda41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bca24a2771ec487f"/>
    <x:sheet xmlns:r="http://schemas.openxmlformats.org/officeDocument/2006/relationships" name="Test Case Design &amp; Test Results" sheetId="2" r:id="R1c2728ced674451d"/>
    <x:sheet xmlns:r="http://schemas.openxmlformats.org/officeDocument/2006/relationships" name="Test Scenario Summary" sheetId="3" r:id="R7061688ca4f64908"/>
    <x:sheet xmlns:r="http://schemas.openxmlformats.org/officeDocument/2006/relationships" name="Defect Summary" sheetId="4" r:id="Rda678dff42384d12"/>
    <x:sheet xmlns:r="http://schemas.openxmlformats.org/officeDocument/2006/relationships" name="TS001" sheetId="5" r:id="Ra82380471714483f"/>
    <x:sheet xmlns:r="http://schemas.openxmlformats.org/officeDocument/2006/relationships" name="TS002" sheetId="6" r:id="R9d3bdbdc10de45a4"/>
    <x:sheet xmlns:r="http://schemas.openxmlformats.org/officeDocument/2006/relationships" name="TS003" sheetId="7" r:id="R2c65ec019f9245e7"/>
    <x:sheet xmlns:r="http://schemas.openxmlformats.org/officeDocument/2006/relationships" name="TS004" sheetId="8" r:id="R47b754cd917b4641"/>
    <x:sheet xmlns:r="http://schemas.openxmlformats.org/officeDocument/2006/relationships" name="Requirements Traceability" sheetId="9" r:id="R1a3b2e4d26c04c14"/>
    <x:sheet xmlns:r="http://schemas.openxmlformats.org/officeDocument/2006/relationships" name="Test Summary Report" sheetId="10" r:id="R1c1b8cbaf9474b3c"/>
    <x:sheet xmlns:r="http://schemas.openxmlformats.org/officeDocument/2006/relationships" name="Execution Log" sheetId="11" r:id="Re72b34a5ae5a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000000"/>
      <x:name val="Arial"/>
    </x:font>
    <x:font>
      <x:b/>
      <x:sz val="13"/>
      <x:color rgb="FF000000"/>
      <x:name val="Arial"/>
    </x:font>
    <x:font>
      <x:b/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3963f8d3e42ae" /><Relationship Type="http://schemas.openxmlformats.org/officeDocument/2006/relationships/theme" Target="/xl/theme/theme1.xml" Id="R051bb78e90d34242" /><Relationship Type="http://schemas.openxmlformats.org/officeDocument/2006/relationships/sharedStrings" Target="/xl/sharedStrings.xml" Id="R655f12ce166d4df4" /><Relationship Type="http://schemas.openxmlformats.org/officeDocument/2006/relationships/worksheet" Target="/xl/worksheets/sheet1.xml" Id="Rbca24a2771ec487f" /><Relationship Type="http://schemas.openxmlformats.org/officeDocument/2006/relationships/worksheet" Target="/xl/worksheets/sheet2.xml" Id="R1c2728ced674451d" /><Relationship Type="http://schemas.openxmlformats.org/officeDocument/2006/relationships/worksheet" Target="/xl/worksheets/sheet3.xml" Id="R7061688ca4f64908" /><Relationship Type="http://schemas.openxmlformats.org/officeDocument/2006/relationships/worksheet" Target="/xl/worksheets/sheet4.xml" Id="Rda678dff42384d12" /><Relationship Type="http://schemas.openxmlformats.org/officeDocument/2006/relationships/worksheet" Target="/xl/worksheets/sheet5.xml" Id="Ra82380471714483f" /><Relationship Type="http://schemas.openxmlformats.org/officeDocument/2006/relationships/worksheet" Target="/xl/worksheets/sheet6.xml" Id="R9d3bdbdc10de45a4" /><Relationship Type="http://schemas.openxmlformats.org/officeDocument/2006/relationships/worksheet" Target="/xl/worksheets/sheet7.xml" Id="R2c65ec019f9245e7" /><Relationship Type="http://schemas.openxmlformats.org/officeDocument/2006/relationships/worksheet" Target="/xl/worksheets/sheet8.xml" Id="R47b754cd917b4641" /><Relationship Type="http://schemas.openxmlformats.org/officeDocument/2006/relationships/worksheet" Target="/xl/worksheets/sheet9.xml" Id="R1a3b2e4d26c04c14" /><Relationship Type="http://schemas.openxmlformats.org/officeDocument/2006/relationships/worksheet" Target="/xl/worksheets/sheet10.xml" Id="R1c1b8cbaf9474b3c" /><Relationship Type="http://schemas.openxmlformats.org/officeDocument/2006/relationships/worksheet" Target="/xl/worksheets/sheet11.xml" Id="Re72b34a5ae5a4b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32" customHeight="1">
      <x:c r="A1" s="10" t="str">
        <x:v>CPFriendFinder - Test Documentation</x:v>
      </x:c>
      <x:c r="B1" s="10"/>
    </x:row>
    <x:row r="2" ht="21" customHeight="1">
      <x:c r="A2" s="8"/>
      <x:c r="B2" s="8"/>
    </x:row>
    <x:row r="3" ht="21" customHeight="1">
      <x:c r="A3" s="8"/>
      <x:c r="B3" s="8"/>
    </x:row>
    <x:row r="4" ht="27" customHeight="1">
      <x:c r="A4" s="12" t="str">
        <x:v>Item</x:v>
      </x:c>
      <x:c r="B4" s="12" t="str">
        <x:v>Details</x:v>
      </x:c>
    </x:row>
    <x:row r="5" ht="21" customHeight="1">
      <x:c r="A5" s="8" t="str">
        <x:v>Project</x:v>
      </x:c>
      <x:c r="B5" s="8" t="str">
        <x:v>CPFriendFinder (CP353002)</x:v>
      </x:c>
    </x:row>
    <x:row r="6" ht="21" customHeight="1">
      <x:c r="A6" s="8" t="str">
        <x:v>Tester</x:v>
      </x:c>
      <x:c r="B6" s="8" t="str">
        <x:v>Jiratchaya Paocanthuek</x:v>
      </x:c>
    </x:row>
    <x:row r="7" ht="21" customHeight="1">
      <x:c r="A7" s="8" t="str">
        <x:v>Prepared on</x:v>
      </x:c>
      <x:c r="B7" s="8" t="str">
        <x:v>2026-09-30</x:v>
      </x:c>
    </x:row>
    <x:row r="8" ht="21" customHeight="1">
      <x:c r="A8" s="8" t="str">
        <x:v>Test scope</x:v>
      </x:c>
      <x:c r="B8" s="8" t="str">
        <x:v>Registration, login, controller MVC and Spring Security</x:v>
      </x:c>
    </x:row>
    <x:row r="9" ht="21" customHeight="1">
      <x:c r="A9" s="8" t="str">
        <x:v>Documented test cases</x:v>
      </x:c>
      <x:c r="B9" s="8" t="str">
        <x:v>42 (Registration 12; Login 11; Controller 10; Security 9)</x:v>
      </x:c>
    </x:row>
    <x:row r="10" ht="21" customHeight="1">
      <x:c r="A10" s="8" t="str">
        <x:v>First full run</x:v>
      </x:c>
      <x:c r="B10" s="8" t="str">
        <x:v>2026-09-30 15:00:47 - 24/24 passed</x:v>
      </x:c>
    </x:row>
    <x:row r="11" ht="21" customHeight="1">
      <x:c r="A11" s="8" t="str">
        <x:v>Latest full run</x:v>
      </x:c>
      <x:c r="B11" s="8" t="str">
        <x:v>2026-09-30 17:09:30 - 43/43 passed, including the context test</x:v>
      </x:c>
    </x:row>
    <x:row r="12" ht="21" customHeight="1">
      <x:c r="A12" s="8" t="str">
        <x:v>Command</x:v>
      </x:c>
      <x:c r="B12" s="8" t="str">
        <x:v>./mvnw -Djava.version=21 clean test</x:v>
      </x:c>
    </x:row>
    <x:row r="13" ht="33" customHeight="1">
      <x:c r="A13" s="8" t="str">
        <x:v>Coverage boundary</x:v>
      </x:c>
      <x:c r="B13" s="8" t="str">
        <x:v>Unit tests mock repository/encoder. MVC and security tests mock AuthService; no real-database E2E test.</x:v>
      </x:c>
    </x:row>
    <x:row r="14" ht="21" customHeight="1">
      <x:c r="A14" s="8"/>
      <x:c r="B14" s="8"/>
    </x:row>
    <x:row r="15" ht="21" customHeight="1">
      <x:c r="A15" s="8"/>
      <x:c r="B15" s="8"/>
    </x:row>
    <x:row r="16" ht="27" customHeight="1">
      <x:c r="A16" s="12" t="str">
        <x:v>Document</x:v>
      </x:c>
      <x:c r="B16" s="12" t="str">
        <x:v>Location</x:v>
      </x:c>
    </x:row>
    <x:row r="17" ht="21" customHeight="1">
      <x:c r="A17" s="8" t="str">
        <x:v>Test plan</x:v>
      </x:c>
      <x:c r="B17" s="8" t="str">
        <x:v>test/test-plan/test-plan.md</x:v>
      </x:c>
    </x:row>
    <x:row r="18" ht="21" customHeight="1">
      <x:c r="A18" s="8" t="str">
        <x:v>This workbook</x:v>
      </x:c>
      <x:c r="B18" s="8" t="str">
        <x:v>test/test-cases/CPFriendFinder_TestCases.xlsx</x:v>
      </x:c>
    </x:row>
    <x:row r="19" ht="21" customHeight="1">
      <x:c r="A19" s="8" t="str">
        <x:v>Baseline report</x:v>
      </x:c>
      <x:c r="B19" s="8" t="str">
        <x:v>test/reports/baseline-2026-09-30.md</x:v>
      </x:c>
    </x:row>
    <x:row r="20" ht="21" customHeight="1">
      <x:c r="A20" s="8" t="str">
        <x:v>Execution summary</x:v>
      </x:c>
      <x:c r="B20" s="8" t="str">
        <x:v>test/reports/test-summary.md</x:v>
      </x:c>
    </x:row>
    <x:row r="21" ht="21" customHeight="1">
      <x:c r="A21" s="8" t="str">
        <x:v>Review notes</x:v>
      </x:c>
      <x:c r="B21" s="8" t="str">
        <x:v>test/reports/review-notes.md</x:v>
      </x:c>
    </x:row>
    <x:row r="22" ht="21" customHeight="1">
      <x:c r="A22" s="8" t="str">
        <x:v>JUnit tests</x:v>
      </x:c>
      <x:c r="B22" s="8" t="str">
        <x:v>src/test/java/com/cp/friend/service/ and controller/</x:v>
      </x:c>
    </x:row>
    <x:row r="23" ht="21" customHeight="1">
      <x:c r="A23" s="8" t="str">
        <x:v>Surefire reports</x:v>
      </x:c>
      <x:c r="B23" s="8" t="str">
        <x:v>target/surefire-reports/</x:v>
      </x:c>
    </x:row>
    <x:row r="24" ht="21" customHeight="1">
      <x:c r="A24" s="8"/>
      <x:c r="B24" s="8"/>
    </x:row>
    <x:row r="25" ht="21" customHeight="1">
      <x:c r="A25" s="8"/>
      <x:c r="B25" s="8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7" hidden="0" customWidth="1"/>
    <x:col min="4" max="4" width="22" hidden="0" customWidth="1"/>
    <x:col min="5" max="5" width="34" hidden="0" customWidth="1"/>
    <x:col min="6" max="6" width="44" hidden="0" customWidth="1"/>
    <x:col min="7" max="7" width="45" hidden="0" customWidth="1"/>
    <x:col min="8" max="8" width="55" hidden="0" customWidth="1"/>
    <x:col min="9" max="9" width="24" hidden="0" customWidth="1"/>
    <x:col min="10" max="10" width="13" hidden="0" customWidth="1"/>
    <x:col min="11" max="11" width="26" hidden="0" customWidth="1"/>
    <x:col min="12" max="12" width="65" hidden="0" customWidth="1"/>
    <x:col min="13" max="13" width="34" hidden="0" customWidth="1"/>
  </x:cols>
  <x:sheetData>
    <x:row r="1" ht="32" customHeight="1">
      <x:c r="A1" s="10" t="str">
        <x:v>Test Case Design and Test Results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21" customHeight="1">
      <x:c r="A2" s="8" t="str">
        <x:v>42 documented test cases; latest full test run: 2026-09-30 17:09:30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 ht="21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4" ht="28" customHeight="1">
      <x:c r="A4" s="12" t="str">
        <x:v>Use Case ID</x:v>
      </x:c>
      <x:c r="B4" s="12" t="str">
        <x:v>Scenario ID</x:v>
      </x:c>
      <x:c r="C4" s="12" t="str">
        <x:v>Test Case ID</x:v>
      </x:c>
      <x:c r="D4" s="12" t="str">
        <x:v>Test Design</x:v>
      </x:c>
      <x:c r="E4" s="12" t="str">
        <x:v>Component / Endpoint</x:v>
      </x:c>
      <x:c r="F4" s="12" t="str">
        <x:v>Test Input</x:v>
      </x:c>
      <x:c r="G4" s="12" t="str">
        <x:v>Preconditions / Mock</x:v>
      </x:c>
      <x:c r="H4" s="12" t="str">
        <x:v>Expected Result</x:v>
      </x:c>
      <x:c r="I4" s="12" t="str">
        <x:v>Actual Result</x:v>
      </x:c>
      <x:c r="J4" s="14" t="str">
        <x:v>Status</x:v>
      </x:c>
      <x:c r="K4" s="12" t="str">
        <x:v>Test Type</x:v>
      </x:c>
      <x:c r="L4" s="12" t="str">
        <x:v>JUnit Method</x:v>
      </x:c>
      <x:c r="M4" s="12" t="str">
        <x:v>Execution Reference</x:v>
      </x:c>
    </x:row>
    <x:row r="5" ht="49" customHeight="1">
      <x:c r="A5" s="8" t="str">
        <x:v>UC-AUTH-01</x:v>
      </x:c>
      <x:c r="B5" s="8" t="str">
        <x:v>TS001</x:v>
      </x:c>
      <x:c r="C5" s="8" t="str">
        <x:v>REG-001</x:v>
      </x:c>
      <x:c r="D5" s="8" t="str">
        <x:v>Valid input</x:v>
      </x:c>
      <x:c r="E5" s="8" t="str">
        <x:v>AuthService.register</x:v>
      </x:c>
      <x:c r="F5" s="8" t="str">
        <x:v>Valid email and password; first and last name provided</x:v>
      </x:c>
      <x:c r="G5" s="8" t="str">
        <x:v>Email not registered; mock encoder and repository save</x:v>
      </x:c>
      <x:c r="H5" s="8" t="str">
        <x:v>Returns a new user; save is called once</x:v>
      </x:c>
      <x:c r="I5" s="8" t="str">
        <x:v>Assertions passed</x:v>
      </x:c>
      <x:c r="J5" s="15" t="str">
        <x:v>Pass</x:v>
      </x:c>
      <x:c r="K5" s="8" t="str">
        <x:v>Unit / JUnit 5 / Mockito</x:v>
      </x:c>
      <x:c r="L5" s="8" t="str">
        <x:v>AuthServiceRegisterTest.register_validData_savesUser</x:v>
      </x:c>
      <x:c r="M5" s="8" t="str">
        <x:v>Full suite: 2026-09-30 15:00:47</x:v>
      </x:c>
    </x:row>
    <x:row r="6" ht="49" customHeight="1">
      <x:c r="A6" s="8" t="str">
        <x:v>UC-AUTH-01</x:v>
      </x:c>
      <x:c r="B6" s="8" t="str">
        <x:v>TS001</x:v>
      </x:c>
      <x:c r="C6" s="8" t="str">
        <x:v>REG-002</x:v>
      </x:c>
      <x:c r="D6" s="8" t="str">
        <x:v>Invalid input</x:v>
      </x:c>
      <x:c r="E6" s="8" t="str">
        <x:v>AuthService.register</x:v>
      </x:c>
      <x:c r="F6" s="8" t="str">
        <x:v>Null RegisterRequest</x:v>
      </x:c>
      <x:c r="G6" s="8" t="str">
        <x:v>No stubbing required</x:v>
      </x:c>
      <x:c r="H6" s="8" t="str">
        <x:v>Throws "Registration request is required"</x:v>
      </x:c>
      <x:c r="I6" s="8" t="str">
        <x:v>Assertions passed</x:v>
      </x:c>
      <x:c r="J6" s="15" t="str">
        <x:v>Pass</x:v>
      </x:c>
      <x:c r="K6" s="8" t="str">
        <x:v>Unit / JUnit 5 / Mockito</x:v>
      </x:c>
      <x:c r="L6" s="8" t="str">
        <x:v>AuthServiceRegisterTest.register_nullRequest_throwsRequiredRequest</x:v>
      </x:c>
      <x:c r="M6" s="8" t="str">
        <x:v>Full suite: 2026-09-30 15:00:47</x:v>
      </x:c>
    </x:row>
    <x:row r="7" ht="49" customHeight="1">
      <x:c r="A7" s="8" t="str">
        <x:v>UC-AUTH-01</x:v>
      </x:c>
      <x:c r="B7" s="8" t="str">
        <x:v>TS001</x:v>
      </x:c>
      <x:c r="C7" s="8" t="str">
        <x:v>REG-003</x:v>
      </x:c>
      <x:c r="D7" s="8" t="str">
        <x:v>Invalid input</x:v>
      </x:c>
      <x:c r="E7" s="8" t="str">
        <x:v>AuthService.register</x:v>
      </x:c>
      <x:c r="F7" s="8" t="str">
        <x:v>email = null</x:v>
      </x:c>
      <x:c r="G7" s="8" t="str">
        <x:v>No stubbing required</x:v>
      </x:c>
      <x:c r="H7" s="8" t="str">
        <x:v>Throws "Email is required"</x:v>
      </x:c>
      <x:c r="I7" s="8" t="str">
        <x:v>Assertions passed</x:v>
      </x:c>
      <x:c r="J7" s="15" t="str">
        <x:v>Pass</x:v>
      </x:c>
      <x:c r="K7" s="8" t="str">
        <x:v>Unit / JUnit 5 / Mockito</x:v>
      </x:c>
      <x:c r="L7" s="8" t="str">
        <x:v>AuthServiceRegisterTest.register_nullEmail_throwsRequiredEmail</x:v>
      </x:c>
      <x:c r="M7" s="8" t="str">
        <x:v>Full suite: 2026-09-30 15:00:47</x:v>
      </x:c>
    </x:row>
    <x:row r="8" ht="49" customHeight="1">
      <x:c r="A8" s="8" t="str">
        <x:v>UC-AUTH-01</x:v>
      </x:c>
      <x:c r="B8" s="8" t="str">
        <x:v>TS001</x:v>
      </x:c>
      <x:c r="C8" s="8" t="str">
        <x:v>REG-004</x:v>
      </x:c>
      <x:c r="D8" s="8" t="str">
        <x:v>Invalid input</x:v>
      </x:c>
      <x:c r="E8" s="8" t="str">
        <x:v>AuthService.register</x:v>
      </x:c>
      <x:c r="F8" s="8" t="str">
        <x:v>email = three spaces</x:v>
      </x:c>
      <x:c r="G8" s="8" t="str">
        <x:v>No stubbing required</x:v>
      </x:c>
      <x:c r="H8" s="8" t="str">
        <x:v>Throws "Email is required"</x:v>
      </x:c>
      <x:c r="I8" s="8" t="str">
        <x:v>Assertions passed</x:v>
      </x:c>
      <x:c r="J8" s="15" t="str">
        <x:v>Pass</x:v>
      </x:c>
      <x:c r="K8" s="8" t="str">
        <x:v>Unit / JUnit 5 / Mockito</x:v>
      </x:c>
      <x:c r="L8" s="8" t="str">
        <x:v>AuthServiceRegisterTest.register_blankEmail_throwsRequiredEmail</x:v>
      </x:c>
      <x:c r="M8" s="8" t="str">
        <x:v>Full suite: 2026-09-30 15:00:47</x:v>
      </x:c>
    </x:row>
    <x:row r="9" ht="49" customHeight="1">
      <x:c r="A9" s="8" t="str">
        <x:v>UC-AUTH-01</x:v>
      </x:c>
      <x:c r="B9" s="8" t="str">
        <x:v>TS001</x:v>
      </x:c>
      <x:c r="C9" s="8" t="str">
        <x:v>REG-005</x:v>
      </x:c>
      <x:c r="D9" s="8" t="str">
        <x:v>Invalid input</x:v>
      </x:c>
      <x:c r="E9" s="8" t="str">
        <x:v>AuthService.register</x:v>
      </x:c>
      <x:c r="F9" s="8" t="str">
        <x:v>password = null</x:v>
      </x:c>
      <x:c r="G9" s="8" t="str">
        <x:v>No stubbing required</x:v>
      </x:c>
      <x:c r="H9" s="8" t="str">
        <x:v>Throws "Password is required"</x:v>
      </x:c>
      <x:c r="I9" s="8" t="str">
        <x:v>Assertions passed</x:v>
      </x:c>
      <x:c r="J9" s="15" t="str">
        <x:v>Pass</x:v>
      </x:c>
      <x:c r="K9" s="8" t="str">
        <x:v>Unit / JUnit 5 / Mockito</x:v>
      </x:c>
      <x:c r="L9" s="8" t="str">
        <x:v>AuthServiceRegisterTest.register_nullPassword_throwsRequiredPassword</x:v>
      </x:c>
      <x:c r="M9" s="8" t="str">
        <x:v>Full suite: 2026-09-30 15:00:47</x:v>
      </x:c>
    </x:row>
    <x:row r="10" ht="49" customHeight="1">
      <x:c r="A10" s="8" t="str">
        <x:v>UC-AUTH-01</x:v>
      </x:c>
      <x:c r="B10" s="8" t="str">
        <x:v>TS001</x:v>
      </x:c>
      <x:c r="C10" s="8" t="str">
        <x:v>REG-006</x:v>
      </x:c>
      <x:c r="D10" s="8" t="str">
        <x:v>Invalid input</x:v>
      </x:c>
      <x:c r="E10" s="8" t="str">
        <x:v>AuthService.register</x:v>
      </x:c>
      <x:c r="F10" s="8" t="str">
        <x:v>password = three spaces</x:v>
      </x:c>
      <x:c r="G10" s="8" t="str">
        <x:v>No stubbing required</x:v>
      </x:c>
      <x:c r="H10" s="8" t="str">
        <x:v>Throws "Password is required"</x:v>
      </x:c>
      <x:c r="I10" s="8" t="str">
        <x:v>Assertions passed</x:v>
      </x:c>
      <x:c r="J10" s="15" t="str">
        <x:v>Pass</x:v>
      </x:c>
      <x:c r="K10" s="8" t="str">
        <x:v>Unit / JUnit 5 / Mockito</x:v>
      </x:c>
      <x:c r="L10" s="8" t="str">
        <x:v>AuthServiceRegisterTest.register_blankPassword_throwsRequiredPassword</x:v>
      </x:c>
      <x:c r="M10" s="8" t="str">
        <x:v>Full suite: 2026-09-30 15:00:47</x:v>
      </x:c>
    </x:row>
    <x:row r="11" ht="49" customHeight="1">
      <x:c r="A11" s="8" t="str">
        <x:v>UC-AUTH-01</x:v>
      </x:c>
      <x:c r="B11" s="8" t="str">
        <x:v>TS001</x:v>
      </x:c>
      <x:c r="C11" s="8" t="str">
        <x:v>REG-007</x:v>
      </x:c>
      <x:c r="D11" s="8" t="str">
        <x:v>BVA: lower boundary</x:v>
      </x:c>
      <x:c r="E11" s="8" t="str">
        <x:v>AuthService.register</x:v>
      </x:c>
      <x:c r="F11" s="8" t="str">
        <x:v>password = 1234567 (7 characters)</x:v>
      </x:c>
      <x:c r="G11" s="8" t="str">
        <x:v>No stubbing required</x:v>
      </x:c>
      <x:c r="H11" s="8" t="str">
        <x:v>Throws "Password must be at least 8 characters"</x:v>
      </x:c>
      <x:c r="I11" s="8" t="str">
        <x:v>Assertions passed</x:v>
      </x:c>
      <x:c r="J11" s="15" t="str">
        <x:v>Pass</x:v>
      </x:c>
      <x:c r="K11" s="8" t="str">
        <x:v>Unit / JUnit 5 / Mockito</x:v>
      </x:c>
      <x:c r="L11" s="8" t="str">
        <x:v>AuthServiceRegisterTest.register_sevenCharacterPassword_rejected</x:v>
      </x:c>
      <x:c r="M11" s="8" t="str">
        <x:v>Full suite: 2026-09-30 15:00:47</x:v>
      </x:c>
    </x:row>
    <x:row r="12" ht="49" customHeight="1">
      <x:c r="A12" s="8" t="str">
        <x:v>UC-AUTH-01</x:v>
      </x:c>
      <x:c r="B12" s="8" t="str">
        <x:v>TS001</x:v>
      </x:c>
      <x:c r="C12" s="8" t="str">
        <x:v>REG-008</x:v>
      </x:c>
      <x:c r="D12" s="8" t="str">
        <x:v>BVA: boundary</x:v>
      </x:c>
      <x:c r="E12" s="8" t="str">
        <x:v>AuthService.register</x:v>
      </x:c>
      <x:c r="F12" s="8" t="str">
        <x:v>password = 12345678 (8 characters)</x:v>
      </x:c>
      <x:c r="G12" s="8" t="str">
        <x:v>Email not registered; mock encoder and save</x:v>
      </x:c>
      <x:c r="H12" s="8" t="str">
        <x:v>Password is accepted and user is saved</x:v>
      </x:c>
      <x:c r="I12" s="8" t="str">
        <x:v>Assertions passed</x:v>
      </x:c>
      <x:c r="J12" s="15" t="str">
        <x:v>Pass</x:v>
      </x:c>
      <x:c r="K12" s="8" t="str">
        <x:v>Unit / JUnit 5 / Mockito</x:v>
      </x:c>
      <x:c r="L12" s="8" t="str">
        <x:v>AuthServiceRegisterTest.register_eightCharacterPassword_accepted</x:v>
      </x:c>
      <x:c r="M12" s="8" t="str">
        <x:v>Full suite: 2026-09-30 15:00:47</x:v>
      </x:c>
    </x:row>
    <x:row r="13" ht="49" customHeight="1">
      <x:c r="A13" s="8" t="str">
        <x:v>UC-AUTH-01</x:v>
      </x:c>
      <x:c r="B13" s="8" t="str">
        <x:v>TS001</x:v>
      </x:c>
      <x:c r="C13" s="8" t="str">
        <x:v>REG-009</x:v>
      </x:c>
      <x:c r="D13" s="8" t="str">
        <x:v>Invalid input</x:v>
      </x:c>
      <x:c r="E13" s="8" t="str">
        <x:v>AuthService.register</x:v>
      </x:c>
      <x:c r="F13" s="8" t="str">
        <x:v>Email already exists</x:v>
      </x:c>
      <x:c r="G13" s="8" t="str">
        <x:v>existsByEmail returns true</x:v>
      </x:c>
      <x:c r="H13" s="8" t="str">
        <x:v>Throws "Email already exists"; user is not saved</x:v>
      </x:c>
      <x:c r="I13" s="8" t="str">
        <x:v>Assertions passed</x:v>
      </x:c>
      <x:c r="J13" s="15" t="str">
        <x:v>Pass</x:v>
      </x:c>
      <x:c r="K13" s="8" t="str">
        <x:v>Unit / JUnit 5 / Mockito</x:v>
      </x:c>
      <x:c r="L13" s="8" t="str">
        <x:v>AuthServiceRegisterTest.register_duplicateEmail_rejectedWithoutSaving</x:v>
      </x:c>
      <x:c r="M13" s="8" t="str">
        <x:v>Full suite: 2026-09-30 15:00:47</x:v>
      </x:c>
    </x:row>
    <x:row r="14" ht="49" customHeight="1">
      <x:c r="A14" s="8" t="str">
        <x:v>UC-AUTH-01</x:v>
      </x:c>
      <x:c r="B14" s="8" t="str">
        <x:v>TS001</x:v>
      </x:c>
      <x:c r="C14" s="8" t="str">
        <x:v>REG-010</x:v>
      </x:c>
      <x:c r="D14" s="8" t="str">
        <x:v>Valid input</x:v>
      </x:c>
      <x:c r="E14" s="8" t="str">
        <x:v>AuthService.register</x:v>
      </x:c>
      <x:c r="F14" s="8" t="str">
        <x:v>email = "  STUDENT@KKU.AC.TH  "</x:v>
      </x:c>
      <x:c r="G14" s="8" t="str">
        <x:v>Email not registered; mock encoder and save</x:v>
      </x:c>
      <x:c r="H14" s="8" t="str">
        <x:v>Trims and lowercases email before saving</x:v>
      </x:c>
      <x:c r="I14" s="8" t="str">
        <x:v>Assertions passed</x:v>
      </x:c>
      <x:c r="J14" s="15" t="str">
        <x:v>Pass</x:v>
      </x:c>
      <x:c r="K14" s="8" t="str">
        <x:v>Unit / JUnit 5 / Mockito</x:v>
      </x:c>
      <x:c r="L14" s="8" t="str">
        <x:v>AuthServiceRegisterTest.register_spacedUppercaseEmail_normalized</x:v>
      </x:c>
      <x:c r="M14" s="8" t="str">
        <x:v>Full suite: 2026-09-30 15:00:47</x:v>
      </x:c>
    </x:row>
    <x:row r="15" ht="49" customHeight="1">
      <x:c r="A15" s="8" t="str">
        <x:v>UC-AUTH-01</x:v>
      </x:c>
      <x:c r="B15" s="8" t="str">
        <x:v>TS001</x:v>
      </x:c>
      <x:c r="C15" s="8" t="str">
        <x:v>REG-011</x:v>
      </x:c>
      <x:c r="D15" s="8" t="str">
        <x:v>Source-based</x:v>
      </x:c>
      <x:c r="E15" s="8" t="str">
        <x:v>AuthService.register</x:v>
      </x:c>
      <x:c r="F15" s="8" t="str">
        <x:v>Valid registration data</x:v>
      </x:c>
      <x:c r="G15" s="8" t="str">
        <x:v>Mock password encoder and repository save</x:v>
      </x:c>
      <x:c r="H15" s="8" t="str">
        <x:v>Stores encoded password and sets status to ACTIVE</x:v>
      </x:c>
      <x:c r="I15" s="8" t="str">
        <x:v>Assertions passed</x:v>
      </x:c>
      <x:c r="J15" s="15" t="str">
        <x:v>Pass</x:v>
      </x:c>
      <x:c r="K15" s="8" t="str">
        <x:v>Unit / JUnit 5 / Mockito</x:v>
      </x:c>
      <x:c r="L15" s="8" t="str">
        <x:v>AuthServiceRegisterTest.register_validData_encodesPasswordAndSetsActive</x:v>
      </x:c>
      <x:c r="M15" s="8" t="str">
        <x:v>Full suite: 2026-09-30 15:00:47</x:v>
      </x:c>
    </x:row>
    <x:row r="16" ht="49" customHeight="1">
      <x:c r="A16" s="8" t="str">
        <x:v>UC-AUTH-01</x:v>
      </x:c>
      <x:c r="B16" s="8" t="str">
        <x:v>TS001</x:v>
      </x:c>
      <x:c r="C16" s="8" t="str">
        <x:v>REG-012</x:v>
      </x:c>
      <x:c r="D16" s="8" t="str">
        <x:v>Source-based</x:v>
      </x:c>
      <x:c r="E16" s="8" t="str">
        <x:v>AuthService.register</x:v>
      </x:c>
      <x:c r="F16" s="8" t="str">
        <x:v>email = empty string</x:v>
      </x:c>
      <x:c r="G16" s="8" t="str">
        <x:v>No stubbing required</x:v>
      </x:c>
      <x:c r="H16" s="8" t="str">
        <x:v>Rejects input without calling repository or encoder</x:v>
      </x:c>
      <x:c r="I16" s="8" t="str">
        <x:v>Assertions passed</x:v>
      </x:c>
      <x:c r="J16" s="15" t="str">
        <x:v>Pass</x:v>
      </x:c>
      <x:c r="K16" s="8" t="str">
        <x:v>Unit / JUnit 5 / Mockito</x:v>
      </x:c>
      <x:c r="L16" s="8" t="str">
        <x:v>AuthServiceRegisterTest.register_invalidEmail_doesNotAccessDependencies</x:v>
      </x:c>
      <x:c r="M16" s="8" t="str">
        <x:v>Full suite: 2026-09-30 15:00:47</x:v>
      </x:c>
    </x:row>
    <x:row r="17" ht="49" customHeight="1">
      <x:c r="A17" s="8" t="str">
        <x:v>UC-AUTH-02</x:v>
      </x:c>
      <x:c r="B17" s="8" t="str">
        <x:v>TS002</x:v>
      </x:c>
      <x:c r="C17" s="8" t="str">
        <x:v>LOGIN-001</x:v>
      </x:c>
      <x:c r="D17" s="8" t="str">
        <x:v>Valid input</x:v>
      </x:c>
      <x:c r="E17" s="8" t="str">
        <x:v>AuthService.login</x:v>
      </x:c>
      <x:c r="F17" s="8" t="str">
        <x:v>Valid email and password; ACTIVE account</x:v>
      </x:c>
      <x:c r="G17" s="8" t="str">
        <x:v>User is found; password matches</x:v>
      </x:c>
      <x:c r="H17" s="8" t="str">
        <x:v>Returns the authenticated user</x:v>
      </x:c>
      <x:c r="I17" s="8" t="str">
        <x:v>Assertions passed</x:v>
      </x:c>
      <x:c r="J17" s="15" t="str">
        <x:v>Pass</x:v>
      </x:c>
      <x:c r="K17" s="8" t="str">
        <x:v>Unit / JUnit 5 / Mockito</x:v>
      </x:c>
      <x:c r="L17" s="8" t="str">
        <x:v>AuthServiceLoginTest.login_validCredentials_returnsUser</x:v>
      </x:c>
      <x:c r="M17" s="8" t="str">
        <x:v>Full suite: 2026-09-30 15:00:47</x:v>
      </x:c>
    </x:row>
    <x:row r="18" ht="49" customHeight="1">
      <x:c r="A18" s="8" t="str">
        <x:v>UC-AUTH-02</x:v>
      </x:c>
      <x:c r="B18" s="8" t="str">
        <x:v>TS002</x:v>
      </x:c>
      <x:c r="C18" s="8" t="str">
        <x:v>LOGIN-002</x:v>
      </x:c>
      <x:c r="D18" s="8" t="str">
        <x:v>Invalid input</x:v>
      </x:c>
      <x:c r="E18" s="8" t="str">
        <x:v>AuthService.login</x:v>
      </x:c>
      <x:c r="F18" s="8" t="str">
        <x:v>Null LoginRequest</x:v>
      </x:c>
      <x:c r="G18" s="8" t="str">
        <x:v>No stubbing required</x:v>
      </x:c>
      <x:c r="H18" s="8" t="str">
        <x:v>Throws "Login request is required"</x:v>
      </x:c>
      <x:c r="I18" s="8" t="str">
        <x:v>Assertions passed</x:v>
      </x:c>
      <x:c r="J18" s="15" t="str">
        <x:v>Pass</x:v>
      </x:c>
      <x:c r="K18" s="8" t="str">
        <x:v>Unit / JUnit 5 / Mockito</x:v>
      </x:c>
      <x:c r="L18" s="8" t="str">
        <x:v>AuthServiceLoginTest.login_nullRequest_rejected</x:v>
      </x:c>
      <x:c r="M18" s="8" t="str">
        <x:v>Full suite: 2026-09-30 15:00:47</x:v>
      </x:c>
    </x:row>
    <x:row r="19" ht="49" customHeight="1">
      <x:c r="A19" s="8" t="str">
        <x:v>UC-AUTH-02</x:v>
      </x:c>
      <x:c r="B19" s="8" t="str">
        <x:v>TS002</x:v>
      </x:c>
      <x:c r="C19" s="8" t="str">
        <x:v>LOGIN-003</x:v>
      </x:c>
      <x:c r="D19" s="8" t="str">
        <x:v>Invalid input</x:v>
      </x:c>
      <x:c r="E19" s="8" t="str">
        <x:v>AuthService.login</x:v>
      </x:c>
      <x:c r="F19" s="8" t="str">
        <x:v>email = null</x:v>
      </x:c>
      <x:c r="G19" s="8" t="str">
        <x:v>No stubbing required</x:v>
      </x:c>
      <x:c r="H19" s="8" t="str">
        <x:v>Throws "Email is required"</x:v>
      </x:c>
      <x:c r="I19" s="8" t="str">
        <x:v>Assertions passed</x:v>
      </x:c>
      <x:c r="J19" s="15" t="str">
        <x:v>Pass</x:v>
      </x:c>
      <x:c r="K19" s="8" t="str">
        <x:v>Unit / JUnit 5 / Mockito</x:v>
      </x:c>
      <x:c r="L19" s="8" t="str">
        <x:v>AuthServiceLoginTest.login_nullEmail_rejected</x:v>
      </x:c>
      <x:c r="M19" s="8" t="str">
        <x:v>Full suite: 2026-09-30 15:00:47</x:v>
      </x:c>
    </x:row>
    <x:row r="20" ht="49" customHeight="1">
      <x:c r="A20" s="8" t="str">
        <x:v>UC-AUTH-02</x:v>
      </x:c>
      <x:c r="B20" s="8" t="str">
        <x:v>TS002</x:v>
      </x:c>
      <x:c r="C20" s="8" t="str">
        <x:v>LOGIN-004</x:v>
      </x:c>
      <x:c r="D20" s="8" t="str">
        <x:v>Invalid input</x:v>
      </x:c>
      <x:c r="E20" s="8" t="str">
        <x:v>AuthService.login</x:v>
      </x:c>
      <x:c r="F20" s="8" t="str">
        <x:v>email is blank</x:v>
      </x:c>
      <x:c r="G20" s="8" t="str">
        <x:v>No stubbing required</x:v>
      </x:c>
      <x:c r="H20" s="8" t="str">
        <x:v>Throws "Email is required"</x:v>
      </x:c>
      <x:c r="I20" s="8" t="str">
        <x:v>Assertions passed</x:v>
      </x:c>
      <x:c r="J20" s="15" t="str">
        <x:v>Pass</x:v>
      </x:c>
      <x:c r="K20" s="8" t="str">
        <x:v>Unit / JUnit 5 / Mockito</x:v>
      </x:c>
      <x:c r="L20" s="8" t="str">
        <x:v>AuthServiceLoginTest.login_blankEmail_rejected</x:v>
      </x:c>
      <x:c r="M20" s="8" t="str">
        <x:v>Full suite: 2026-09-30 15:00:47</x:v>
      </x:c>
    </x:row>
    <x:row r="21" ht="49" customHeight="1">
      <x:c r="A21" s="8" t="str">
        <x:v>UC-AUTH-02</x:v>
      </x:c>
      <x:c r="B21" s="8" t="str">
        <x:v>TS002</x:v>
      </x:c>
      <x:c r="C21" s="8" t="str">
        <x:v>LOGIN-005</x:v>
      </x:c>
      <x:c r="D21" s="8" t="str">
        <x:v>Invalid input</x:v>
      </x:c>
      <x:c r="E21" s="8" t="str">
        <x:v>AuthService.login</x:v>
      </x:c>
      <x:c r="F21" s="8" t="str">
        <x:v>password = null</x:v>
      </x:c>
      <x:c r="G21" s="8" t="str">
        <x:v>No stubbing required</x:v>
      </x:c>
      <x:c r="H21" s="8" t="str">
        <x:v>Throws "Password is required"</x:v>
      </x:c>
      <x:c r="I21" s="8" t="str">
        <x:v>Assertions passed</x:v>
      </x:c>
      <x:c r="J21" s="15" t="str">
        <x:v>Pass</x:v>
      </x:c>
      <x:c r="K21" s="8" t="str">
        <x:v>Unit / JUnit 5 / Mockito</x:v>
      </x:c>
      <x:c r="L21" s="8" t="str">
        <x:v>AuthServiceLoginTest.login_nullPassword_rejected</x:v>
      </x:c>
      <x:c r="M21" s="8" t="str">
        <x:v>Full suite: 2026-09-30 15:00:47</x:v>
      </x:c>
    </x:row>
    <x:row r="22" ht="49" customHeight="1">
      <x:c r="A22" s="8" t="str">
        <x:v>UC-AUTH-02</x:v>
      </x:c>
      <x:c r="B22" s="8" t="str">
        <x:v>TS002</x:v>
      </x:c>
      <x:c r="C22" s="8" t="str">
        <x:v>LOGIN-006</x:v>
      </x:c>
      <x:c r="D22" s="8" t="str">
        <x:v>Invalid input</x:v>
      </x:c>
      <x:c r="E22" s="8" t="str">
        <x:v>AuthService.login</x:v>
      </x:c>
      <x:c r="F22" s="8" t="str">
        <x:v>password is blank</x:v>
      </x:c>
      <x:c r="G22" s="8" t="str">
        <x:v>No stubbing required</x:v>
      </x:c>
      <x:c r="H22" s="8" t="str">
        <x:v>Throws "Password is required"</x:v>
      </x:c>
      <x:c r="I22" s="8" t="str">
        <x:v>Assertions passed</x:v>
      </x:c>
      <x:c r="J22" s="15" t="str">
        <x:v>Pass</x:v>
      </x:c>
      <x:c r="K22" s="8" t="str">
        <x:v>Unit / JUnit 5 / Mockito</x:v>
      </x:c>
      <x:c r="L22" s="8" t="str">
        <x:v>AuthServiceLoginTest.login_blankPassword_rejected</x:v>
      </x:c>
      <x:c r="M22" s="8" t="str">
        <x:v>Full suite: 2026-09-30 15:00:47</x:v>
      </x:c>
    </x:row>
    <x:row r="23" ht="49" customHeight="1">
      <x:c r="A23" s="8" t="str">
        <x:v>UC-AUTH-02</x:v>
      </x:c>
      <x:c r="B23" s="8" t="str">
        <x:v>TS002</x:v>
      </x:c>
      <x:c r="C23" s="8" t="str">
        <x:v>LOGIN-007</x:v>
      </x:c>
      <x:c r="D23" s="8" t="str">
        <x:v>Invalid input</x:v>
      </x:c>
      <x:c r="E23" s="8" t="str">
        <x:v>AuthService.login</x:v>
      </x:c>
      <x:c r="F23" s="8" t="str">
        <x:v>Email does not exist</x:v>
      </x:c>
      <x:c r="G23" s="8" t="str">
        <x:v>findByEmail returns no user</x:v>
      </x:c>
      <x:c r="H23" s="8" t="str">
        <x:v>Throws "Invalid email or password"</x:v>
      </x:c>
      <x:c r="I23" s="8" t="str">
        <x:v>Assertions passed</x:v>
      </x:c>
      <x:c r="J23" s="15" t="str">
        <x:v>Pass</x:v>
      </x:c>
      <x:c r="K23" s="8" t="str">
        <x:v>Unit / JUnit 5 / Mockito</x:v>
      </x:c>
      <x:c r="L23" s="8" t="str">
        <x:v>AuthServiceLoginTest.login_unknownEmail_rejected</x:v>
      </x:c>
      <x:c r="M23" s="8" t="str">
        <x:v>Full suite: 2026-09-30 15:00:47</x:v>
      </x:c>
    </x:row>
    <x:row r="24" ht="49" customHeight="1">
      <x:c r="A24" s="8" t="str">
        <x:v>UC-AUTH-02</x:v>
      </x:c>
      <x:c r="B24" s="8" t="str">
        <x:v>TS002</x:v>
      </x:c>
      <x:c r="C24" s="8" t="str">
        <x:v>LOGIN-008</x:v>
      </x:c>
      <x:c r="D24" s="8" t="str">
        <x:v>Account status</x:v>
      </x:c>
      <x:c r="E24" s="8" t="str">
        <x:v>AuthService.login</x:v>
      </x:c>
      <x:c r="F24" s="8" t="str">
        <x:v>Account status is BLOCKED</x:v>
      </x:c>
      <x:c r="G24" s="8" t="str">
        <x:v>Repository returns a BLOCKED user</x:v>
      </x:c>
      <x:c r="H24" s="8" t="str">
        <x:v>Throws "User account is not active"</x:v>
      </x:c>
      <x:c r="I24" s="8" t="str">
        <x:v>Assertions passed</x:v>
      </x:c>
      <x:c r="J24" s="15" t="str">
        <x:v>Pass</x:v>
      </x:c>
      <x:c r="K24" s="8" t="str">
        <x:v>Unit / JUnit 5 / Mockito</x:v>
      </x:c>
      <x:c r="L24" s="8" t="str">
        <x:v>AuthServiceLoginTest.login_blockedAccount_rejected</x:v>
      </x:c>
      <x:c r="M24" s="8" t="str">
        <x:v>Full suite: 2026-09-30 15:00:47</x:v>
      </x:c>
    </x:row>
    <x:row r="25" ht="49" customHeight="1">
      <x:c r="A25" s="8" t="str">
        <x:v>UC-AUTH-02</x:v>
      </x:c>
      <x:c r="B25" s="8" t="str">
        <x:v>TS002</x:v>
      </x:c>
      <x:c r="C25" s="8" t="str">
        <x:v>LOGIN-009</x:v>
      </x:c>
      <x:c r="D25" s="8" t="str">
        <x:v>Invalid input</x:v>
      </x:c>
      <x:c r="E25" s="8" t="str">
        <x:v>AuthService.login</x:v>
      </x:c>
      <x:c r="F25" s="8" t="str">
        <x:v>Correct email, incorrect password</x:v>
      </x:c>
      <x:c r="G25" s="8" t="str">
        <x:v>ACTIVE user found; matches returns false</x:v>
      </x:c>
      <x:c r="H25" s="8" t="str">
        <x:v>Throws "Invalid email or password"</x:v>
      </x:c>
      <x:c r="I25" s="8" t="str">
        <x:v>Assertions passed</x:v>
      </x:c>
      <x:c r="J25" s="15" t="str">
        <x:v>Pass</x:v>
      </x:c>
      <x:c r="K25" s="8" t="str">
        <x:v>Unit / JUnit 5 / Mockito</x:v>
      </x:c>
      <x:c r="L25" s="8" t="str">
        <x:v>AuthServiceLoginTest.login_wrongPassword_rejected</x:v>
      </x:c>
      <x:c r="M25" s="8" t="str">
        <x:v>Full suite: 2026-09-30 15:00:47</x:v>
      </x:c>
    </x:row>
    <x:row r="26" ht="49" customHeight="1">
      <x:c r="A26" s="8" t="str">
        <x:v>UC-AUTH-02</x:v>
      </x:c>
      <x:c r="B26" s="8" t="str">
        <x:v>TS002</x:v>
      </x:c>
      <x:c r="C26" s="8" t="str">
        <x:v>LOGIN-010</x:v>
      </x:c>
      <x:c r="D26" s="8" t="str">
        <x:v>Valid input</x:v>
      </x:c>
      <x:c r="E26" s="8" t="str">
        <x:v>AuthService.login</x:v>
      </x:c>
      <x:c r="F26" s="8" t="str">
        <x:v>email = "  STUDENT@KKU.AC.TH  "</x:v>
      </x:c>
      <x:c r="G26" s="8" t="str">
        <x:v>ACTIVE user found; password matches</x:v>
      </x:c>
      <x:c r="H26" s="8" t="str">
        <x:v>Looks up the normalized email</x:v>
      </x:c>
      <x:c r="I26" s="8" t="str">
        <x:v>Assertions passed</x:v>
      </x:c>
      <x:c r="J26" s="15" t="str">
        <x:v>Pass</x:v>
      </x:c>
      <x:c r="K26" s="8" t="str">
        <x:v>Unit / JUnit 5 / Mockito</x:v>
      </x:c>
      <x:c r="L26" s="8" t="str">
        <x:v>AuthServiceLoginTest.login_spacedUppercaseEmail_normalized</x:v>
      </x:c>
      <x:c r="M26" s="8" t="str">
        <x:v>Full suite: 2026-09-30 15:00:47</x:v>
      </x:c>
    </x:row>
    <x:row r="27" ht="49" customHeight="1">
      <x:c r="A27" s="8" t="str">
        <x:v>UC-AUTH-02</x:v>
      </x:c>
      <x:c r="B27" s="8" t="str">
        <x:v>TS002</x:v>
      </x:c>
      <x:c r="C27" s="8" t="str">
        <x:v>LOGIN-011</x:v>
      </x:c>
      <x:c r="D27" s="8" t="str">
        <x:v>Source-based</x:v>
      </x:c>
      <x:c r="E27" s="8" t="str">
        <x:v>AuthService.login</x:v>
      </x:c>
      <x:c r="F27" s="8" t="str">
        <x:v>Account status is BLOCKED</x:v>
      </x:c>
      <x:c r="G27" s="8" t="str">
        <x:v>Repository returns a BLOCKED user</x:v>
      </x:c>
      <x:c r="H27" s="8" t="str">
        <x:v>Rejects before checking password (no matches call)</x:v>
      </x:c>
      <x:c r="I27" s="8" t="str">
        <x:v>Assertions passed</x:v>
      </x:c>
      <x:c r="J27" s="15" t="str">
        <x:v>Pass</x:v>
      </x:c>
      <x:c r="K27" s="8" t="str">
        <x:v>Unit / JUnit 5 / Mockito</x:v>
      </x:c>
      <x:c r="L27" s="8" t="str">
        <x:v>AuthServiceLoginTest.login_blockedAccount_doesNotCheckPassword</x:v>
      </x:c>
      <x:c r="M27" s="8" t="str">
        <x:v>Full suite: 2026-09-30 15:00:47</x:v>
      </x:c>
    </x:row>
    <x:row r="28" ht="49" customHeight="1">
      <x:c r="A28" s="8" t="str">
        <x:v>UC-AUTH-03</x:v>
      </x:c>
      <x:c r="B28" s="8" t="str">
        <x:v>TS003</x:v>
      </x:c>
      <x:c r="C28" s="8" t="str">
        <x:v>CTRL-001</x:v>
      </x:c>
      <x:c r="D28" s="8" t="str">
        <x:v>HTTP / MVC</x:v>
      </x:c>
      <x:c r="E28" s="8" t="str">
        <x:v>POST /api/auth/register</x:v>
      </x:c>
      <x:c r="F28" s="8" t="str">
        <x:v>Valid registration JSON</x:v>
      </x:c>
      <x:c r="G28" s="8" t="str">
        <x:v>AuthService.register returns a user</x:v>
      </x:c>
      <x:c r="H28" s="8" t="str">
        <x:v>201 Created; public user fields only; no password</x:v>
      </x:c>
      <x:c r="I28" s="8" t="str">
        <x:v>Assertions passed</x:v>
      </x:c>
      <x:c r="J28" s="15" t="str">
        <x:v>Pass</x:v>
      </x:c>
      <x:c r="K28" s="8" t="str">
        <x:v>Standalone MockMvc</x:v>
      </x:c>
      <x:c r="L28" s="8" t="str">
        <x:v>AuthControllerMvcTest.register_validBody_returnsCreatedAndPublicUserFields</x:v>
      </x:c>
      <x:c r="M28" s="8" t="str">
        <x:v>Full suite: 2026-09-30 16:23:47</x:v>
      </x:c>
    </x:row>
    <x:row r="29" ht="49" customHeight="1">
      <x:c r="A29" s="8" t="str">
        <x:v>UC-AUTH-03</x:v>
      </x:c>
      <x:c r="B29" s="8" t="str">
        <x:v>TS003</x:v>
      </x:c>
      <x:c r="C29" s="8" t="str">
        <x:v>CTRL-002</x:v>
      </x:c>
      <x:c r="D29" s="8" t="str">
        <x:v>HTTP / MVC</x:v>
      </x:c>
      <x:c r="E29" s="8" t="str">
        <x:v>POST /api/auth/register</x:v>
      </x:c>
      <x:c r="F29" s="8" t="str">
        <x:v>Request body omitted</x:v>
      </x:c>
      <x:c r="G29" s="8" t="str">
        <x:v>No request body</x:v>
      </x:c>
      <x:c r="H29" s="8" t="str">
        <x:v>400 Bad Request; service not called</x:v>
      </x:c>
      <x:c r="I29" s="8" t="str">
        <x:v>Assertions passed</x:v>
      </x:c>
      <x:c r="J29" s="15" t="str">
        <x:v>Pass</x:v>
      </x:c>
      <x:c r="K29" s="8" t="str">
        <x:v>Standalone MockMvc</x:v>
      </x:c>
      <x:c r="L29" s="8" t="str">
        <x:v>AuthControllerMvcTest.register_missingBody_returnsBadRequest</x:v>
      </x:c>
      <x:c r="M29" s="8" t="str">
        <x:v>Full suite: 2026-09-30 16:23:47</x:v>
      </x:c>
    </x:row>
    <x:row r="30" ht="49" customHeight="1">
      <x:c r="A30" s="8" t="str">
        <x:v>UC-AUTH-03</x:v>
      </x:c>
      <x:c r="B30" s="8" t="str">
        <x:v>TS003</x:v>
      </x:c>
      <x:c r="C30" s="8" t="str">
        <x:v>CTRL-003</x:v>
      </x:c>
      <x:c r="D30" s="8" t="str">
        <x:v>HTTP / MVC</x:v>
      </x:c>
      <x:c r="E30" s="8" t="str">
        <x:v>POST /api/auth/register</x:v>
      </x:c>
      <x:c r="F30" s="8" t="str">
        <x:v>Malformed registration JSON</x:v>
      </x:c>
      <x:c r="G30" s="8" t="str">
        <x:v>Invalid JSON payload</x:v>
      </x:c>
      <x:c r="H30" s="8" t="str">
        <x:v>400 Bad Request; service not called</x:v>
      </x:c>
      <x:c r="I30" s="8" t="str">
        <x:v>Assertions passed</x:v>
      </x:c>
      <x:c r="J30" s="15" t="str">
        <x:v>Pass</x:v>
      </x:c>
      <x:c r="K30" s="8" t="str">
        <x:v>Standalone MockMvc</x:v>
      </x:c>
      <x:c r="L30" s="8" t="str">
        <x:v>AuthControllerMvcTest.register_malformedJson_returnsBadRequest</x:v>
      </x:c>
      <x:c r="M30" s="8" t="str">
        <x:v>Full suite: 2026-09-30 16:23:47</x:v>
      </x:c>
    </x:row>
    <x:row r="31" ht="49" customHeight="1">
      <x:c r="A31" s="8" t="str">
        <x:v>UC-AUTH-03</x:v>
      </x:c>
      <x:c r="B31" s="8" t="str">
        <x:v>TS003</x:v>
      </x:c>
      <x:c r="C31" s="8" t="str">
        <x:v>CTRL-004</x:v>
      </x:c>
      <x:c r="D31" s="8" t="str">
        <x:v>HTTP / MVC</x:v>
      </x:c>
      <x:c r="E31" s="8" t="str">
        <x:v>POST /api/auth/login</x:v>
      </x:c>
      <x:c r="F31" s="8" t="str">
        <x:v>Valid login JSON</x:v>
      </x:c>
      <x:c r="G31" s="8" t="str">
        <x:v>AuthService.login returns a user</x:v>
      </x:c>
      <x:c r="H31" s="8" t="str">
        <x:v>200 OK; userId saved in session</x:v>
      </x:c>
      <x:c r="I31" s="8" t="str">
        <x:v>Assertions passed</x:v>
      </x:c>
      <x:c r="J31" s="15" t="str">
        <x:v>Pass</x:v>
      </x:c>
      <x:c r="K31" s="8" t="str">
        <x:v>Standalone MockMvc</x:v>
      </x:c>
      <x:c r="L31" s="8" t="str">
        <x:v>AuthControllerMvcTest.login_validBody_returnsOkAndStoresUserIdInSession</x:v>
      </x:c>
      <x:c r="M31" s="8" t="str">
        <x:v>Full suite: 2026-09-30 16:23:47</x:v>
      </x:c>
    </x:row>
    <x:row r="32" ht="49" customHeight="1">
      <x:c r="A32" s="8" t="str">
        <x:v>UC-AUTH-03</x:v>
      </x:c>
      <x:c r="B32" s="8" t="str">
        <x:v>TS003</x:v>
      </x:c>
      <x:c r="C32" s="8" t="str">
        <x:v>CTRL-005</x:v>
      </x:c>
      <x:c r="D32" s="8" t="str">
        <x:v>HTTP / MVC</x:v>
      </x:c>
      <x:c r="E32" s="8" t="str">
        <x:v>POST /api/auth/login</x:v>
      </x:c>
      <x:c r="F32" s="8" t="str">
        <x:v>Request body omitted</x:v>
      </x:c>
      <x:c r="G32" s="8" t="str">
        <x:v>No request body</x:v>
      </x:c>
      <x:c r="H32" s="8" t="str">
        <x:v>400 Bad Request; service not called</x:v>
      </x:c>
      <x:c r="I32" s="8" t="str">
        <x:v>Assertions passed</x:v>
      </x:c>
      <x:c r="J32" s="15" t="str">
        <x:v>Pass</x:v>
      </x:c>
      <x:c r="K32" s="8" t="str">
        <x:v>Standalone MockMvc</x:v>
      </x:c>
      <x:c r="L32" s="8" t="str">
        <x:v>AuthControllerMvcTest.login_missingBody_returnsBadRequest</x:v>
      </x:c>
      <x:c r="M32" s="8" t="str">
        <x:v>Full suite: 2026-09-30 16:23:47</x:v>
      </x:c>
    </x:row>
    <x:row r="33" ht="49" customHeight="1">
      <x:c r="A33" s="8" t="str">
        <x:v>UC-AUTH-03</x:v>
      </x:c>
      <x:c r="B33" s="8" t="str">
        <x:v>TS003</x:v>
      </x:c>
      <x:c r="C33" s="8" t="str">
        <x:v>CTRL-006</x:v>
      </x:c>
      <x:c r="D33" s="8" t="str">
        <x:v>HTTP / MVC</x:v>
      </x:c>
      <x:c r="E33" s="8" t="str">
        <x:v>POST /api/auth/login</x:v>
      </x:c>
      <x:c r="F33" s="8" t="str">
        <x:v>Malformed login JSON</x:v>
      </x:c>
      <x:c r="G33" s="8" t="str">
        <x:v>Invalid JSON payload</x:v>
      </x:c>
      <x:c r="H33" s="8" t="str">
        <x:v>400 Bad Request; service not called</x:v>
      </x:c>
      <x:c r="I33" s="8" t="str">
        <x:v>Assertions passed</x:v>
      </x:c>
      <x:c r="J33" s="15" t="str">
        <x:v>Pass</x:v>
      </x:c>
      <x:c r="K33" s="8" t="str">
        <x:v>Standalone MockMvc</x:v>
      </x:c>
      <x:c r="L33" s="8" t="str">
        <x:v>AuthControllerMvcTest.login_malformedJson_returnsBadRequest</x:v>
      </x:c>
      <x:c r="M33" s="8" t="str">
        <x:v>Full suite: 2026-09-30 16:23:47</x:v>
      </x:c>
    </x:row>
    <x:row r="34" ht="49" customHeight="1">
      <x:c r="A34" s="8" t="str">
        <x:v>UC-AUTH-03</x:v>
      </x:c>
      <x:c r="B34" s="8" t="str">
        <x:v>TS003</x:v>
      </x:c>
      <x:c r="C34" s="8" t="str">
        <x:v>CTRL-007</x:v>
      </x:c>
      <x:c r="D34" s="8" t="str">
        <x:v>HTTP / MVC</x:v>
      </x:c>
      <x:c r="E34" s="8" t="str">
        <x:v>GET /api/auth</x:v>
      </x:c>
      <x:c r="F34" s="8" t="str">
        <x:v>Get session after login</x:v>
      </x:c>
      <x:c r="G34" s="8" t="str">
        <x:v>Reuse the session created at login</x:v>
      </x:c>
      <x:c r="H34" s="8" t="str">
        <x:v>200 OK; matching userId returned</x:v>
      </x:c>
      <x:c r="I34" s="8" t="str">
        <x:v>Assertions passed</x:v>
      </x:c>
      <x:c r="J34" s="15" t="str">
        <x:v>Pass</x:v>
      </x:c>
      <x:c r="K34" s="8" t="str">
        <x:v>Standalone MockMvc</x:v>
      </x:c>
      <x:c r="L34" s="8" t="str">
        <x:v>AuthControllerMvcTest.sessionAuth_afterLogin_returnsStoredUserId</x:v>
      </x:c>
      <x:c r="M34" s="8" t="str">
        <x:v>Full suite: 2026-09-30 16:23:47</x:v>
      </x:c>
    </x:row>
    <x:row r="35" ht="49" customHeight="1">
      <x:c r="A35" s="8" t="str">
        <x:v>UC-AUTH-03</x:v>
      </x:c>
      <x:c r="B35" s="8" t="str">
        <x:v>TS003</x:v>
      </x:c>
      <x:c r="C35" s="8" t="str">
        <x:v>CTRL-008</x:v>
      </x:c>
      <x:c r="D35" s="8" t="str">
        <x:v>HTTP / MVC</x:v>
      </x:c>
      <x:c r="E35" s="8" t="str">
        <x:v>GET /api/auth</x:v>
      </x:c>
      <x:c r="F35" s="8" t="str">
        <x:v>Get session before login</x:v>
      </x:c>
      <x:c r="G35" s="8" t="str">
        <x:v>No authenticated user in session</x:v>
      </x:c>
      <x:c r="H35" s="8" t="str">
        <x:v>200 OK; userId is null (current controller behavior)</x:v>
      </x:c>
      <x:c r="I35" s="8" t="str">
        <x:v>Assertions passed</x:v>
      </x:c>
      <x:c r="J35" s="15" t="str">
        <x:v>Pass</x:v>
      </x:c>
      <x:c r="K35" s="8" t="str">
        <x:v>Standalone MockMvc</x:v>
      </x:c>
      <x:c r="L35" s="8" t="str">
        <x:v>AuthControllerMvcTest.sessionAuth_withoutLogin_returnsNullUserId</x:v>
      </x:c>
      <x:c r="M35" s="8" t="str">
        <x:v>Full suite: 2026-09-30 16:23:47</x:v>
      </x:c>
    </x:row>
    <x:row r="36" ht="49" customHeight="1">
      <x:c r="A36" s="8" t="str">
        <x:v>UC-AUTH-03</x:v>
      </x:c>
      <x:c r="B36" s="8" t="str">
        <x:v>TS003</x:v>
      </x:c>
      <x:c r="C36" s="8" t="str">
        <x:v>CTRL-009</x:v>
      </x:c>
      <x:c r="D36" s="8" t="str">
        <x:v>HTTP / MVC</x:v>
      </x:c>
      <x:c r="E36" s="8" t="str">
        <x:v>POST /api/auth/logout</x:v>
      </x:c>
      <x:c r="F36" s="8" t="str">
        <x:v>Logout with session</x:v>
      </x:c>
      <x:c r="G36" s="8" t="str">
        <x:v>Session contains userId</x:v>
      </x:c>
      <x:c r="H36" s="8" t="str">
        <x:v>204 No Content; session invalidated</x:v>
      </x:c>
      <x:c r="I36" s="8" t="str">
        <x:v>Assertions passed</x:v>
      </x:c>
      <x:c r="J36" s="15" t="str">
        <x:v>Pass</x:v>
      </x:c>
      <x:c r="K36" s="8" t="str">
        <x:v>Standalone MockMvc</x:v>
      </x:c>
      <x:c r="L36" s="8" t="str">
        <x:v>AuthControllerMvcTest.logout_existingSession_returnsNoContentAndInvalidatesSession</x:v>
      </x:c>
      <x:c r="M36" s="8" t="str">
        <x:v>Full suite: 2026-09-30 16:23:47</x:v>
      </x:c>
    </x:row>
    <x:row r="37" ht="49" customHeight="1">
      <x:c r="A37" s="8" t="str">
        <x:v>UC-AUTH-03</x:v>
      </x:c>
      <x:c r="B37" s="8" t="str">
        <x:v>TS003</x:v>
      </x:c>
      <x:c r="C37" s="8" t="str">
        <x:v>CTRL-010</x:v>
      </x:c>
      <x:c r="D37" s="8" t="str">
        <x:v>HTTP / MVC</x:v>
      </x:c>
      <x:c r="E37" s="8" t="str">
        <x:v>POST /api/auth/logout</x:v>
      </x:c>
      <x:c r="F37" s="8" t="str">
        <x:v>Logout without login</x:v>
      </x:c>
      <x:c r="G37" s="8" t="str">
        <x:v>No prior login</x:v>
      </x:c>
      <x:c r="H37" s="8" t="str">
        <x:v>204 No Content</x:v>
      </x:c>
      <x:c r="I37" s="8" t="str">
        <x:v>Assertions passed</x:v>
      </x:c>
      <x:c r="J37" s="15" t="str">
        <x:v>Pass</x:v>
      </x:c>
      <x:c r="K37" s="8" t="str">
        <x:v>Standalone MockMvc</x:v>
      </x:c>
      <x:c r="L37" s="8" t="str">
        <x:v>AuthControllerMvcTest.logout_withoutPreviousLogin_returnsNoContent</x:v>
      </x:c>
      <x:c r="M37" s="8" t="str">
        <x:v>Full suite: 2026-09-30 16:23:47</x:v>
      </x:c>
    </x:row>
    <x:row r="38" ht="49" customHeight="1">
      <x:c r="A38" s="8" t="str">
        <x:v>UC-AUTH-04</x:v>
      </x:c>
      <x:c r="B38" s="8" t="str">
        <x:v>TS004</x:v>
      </x:c>
      <x:c r="C38" s="8" t="str">
        <x:v>SEC-001</x:v>
      </x:c>
      <x:c r="D38" s="8" t="str">
        <x:v>Security / MVC</x:v>
      </x:c>
      <x:c r="E38" s="8" t="str">
        <x:v>POST /api/auth/register</x:v>
      </x:c>
      <x:c r="F38" s="8" t="str">
        <x:v>Register anonymously without CSRF</x:v>
      </x:c>
      <x:c r="G38" s="8" t="str">
        <x:v>SecurityConfig enabled; AuthService mocked</x:v>
      </x:c>
      <x:c r="H38" s="8" t="str">
        <x:v>201 Created; response omits password fields</x:v>
      </x:c>
      <x:c r="I38" s="8" t="str">
        <x:v>Assertions passed</x:v>
      </x:c>
      <x:c r="J38" s="15" t="str">
        <x:v>Pass</x:v>
      </x:c>
      <x:c r="K38" s="8" t="str">
        <x:v>WebMvcTest / Security</x:v>
      </x:c>
      <x:c r="L38" s="8" t="str">
        <x:v>AuthSecurityWebMvcTest.anonymousRegistration_withoutCsrfToken_returns201</x:v>
      </x:c>
      <x:c r="M38" s="8" t="str">
        <x:v>Full suite: 2026-09-30 17:09:30</x:v>
      </x:c>
    </x:row>
    <x:row r="39" ht="49" customHeight="1">
      <x:c r="A39" s="8" t="str">
        <x:v>UC-AUTH-04</x:v>
      </x:c>
      <x:c r="B39" s="8" t="str">
        <x:v>TS004</x:v>
      </x:c>
      <x:c r="C39" s="8" t="str">
        <x:v>SEC-002</x:v>
      </x:c>
      <x:c r="D39" s="8" t="str">
        <x:v>Security / MVC</x:v>
      </x:c>
      <x:c r="E39" s="8" t="str">
        <x:v>POST /api/auth/login</x:v>
      </x:c>
      <x:c r="F39" s="8" t="str">
        <x:v>Log in anonymously without CSRF</x:v>
      </x:c>
      <x:c r="G39" s="8" t="str">
        <x:v>SecurityConfig enabled; AuthService mocked</x:v>
      </x:c>
      <x:c r="H39" s="8" t="str">
        <x:v>200 OK; userId stored in session</x:v>
      </x:c>
      <x:c r="I39" s="8" t="str">
        <x:v>Assertions passed</x:v>
      </x:c>
      <x:c r="J39" s="15" t="str">
        <x:v>Pass</x:v>
      </x:c>
      <x:c r="K39" s="8" t="str">
        <x:v>WebMvcTest / Security</x:v>
      </x:c>
      <x:c r="L39" s="8" t="str">
        <x:v>AuthSecurityWebMvcTest.anonymousLogin_withoutCsrfToken_returns200AndStoresSession</x:v>
      </x:c>
      <x:c r="M39" s="8" t="str">
        <x:v>Full suite: 2026-09-30 17:09:30</x:v>
      </x:c>
    </x:row>
    <x:row r="40" ht="49" customHeight="1">
      <x:c r="A40" s="8" t="str">
        <x:v>UC-AUTH-04</x:v>
      </x:c>
      <x:c r="B40" s="8" t="str">
        <x:v>TS004</x:v>
      </x:c>
      <x:c r="C40" s="8" t="str">
        <x:v>SEC-003</x:v>
      </x:c>
      <x:c r="D40" s="8" t="str">
        <x:v>Security / MVC</x:v>
      </x:c>
      <x:c r="E40" s="8" t="str">
        <x:v>GET /api/auth</x:v>
      </x:c>
      <x:c r="F40" s="8" t="str">
        <x:v>Check session anonymously</x:v>
      </x:c>
      <x:c r="G40" s="8" t="str">
        <x:v>Security filter chain enabled</x:v>
      </x:c>
      <x:c r="H40" s="8" t="str">
        <x:v>200 OK; userId is null</x:v>
      </x:c>
      <x:c r="I40" s="8" t="str">
        <x:v>Assertions passed</x:v>
      </x:c>
      <x:c r="J40" s="15" t="str">
        <x:v>Pass</x:v>
      </x:c>
      <x:c r="K40" s="8" t="str">
        <x:v>WebMvcTest / Security</x:v>
      </x:c>
      <x:c r="L40" s="8" t="str">
        <x:v>AuthSecurityWebMvcTest.anonymousSessionCheck_isPermittedAndReturnsNull</x:v>
      </x:c>
      <x:c r="M40" s="8" t="str">
        <x:v>Full suite: 2026-09-30 17:09:30</x:v>
      </x:c>
    </x:row>
    <x:row r="41" ht="49" customHeight="1">
      <x:c r="A41" s="8" t="str">
        <x:v>UC-AUTH-04</x:v>
      </x:c>
      <x:c r="B41" s="8" t="str">
        <x:v>TS004</x:v>
      </x:c>
      <x:c r="C41" s="8" t="str">
        <x:v>SEC-004</x:v>
      </x:c>
      <x:c r="D41" s="8" t="str">
        <x:v>Security / MVC</x:v>
      </x:c>
      <x:c r="E41" s="8" t="str">
        <x:v>POST /api/auth/login + GET /api/auth</x:v>
      </x:c>
      <x:c r="F41" s="8" t="str">
        <x:v>Log in then check session</x:v>
      </x:c>
      <x:c r="G41" s="8" t="str">
        <x:v>Reuse the session across requests</x:v>
      </x:c>
      <x:c r="H41" s="8" t="str">
        <x:v>200 OK; the same userId is returned</x:v>
      </x:c>
      <x:c r="I41" s="8" t="str">
        <x:v>Assertions passed</x:v>
      </x:c>
      <x:c r="J41" s="15" t="str">
        <x:v>Pass</x:v>
      </x:c>
      <x:c r="K41" s="8" t="str">
        <x:v>WebMvcTest / Security</x:v>
      </x:c>
      <x:c r="L41" s="8" t="str">
        <x:v>AuthSecurityWebMvcTest.loginThenSessionCheck_returnsSameUserId</x:v>
      </x:c>
      <x:c r="M41" s="8" t="str">
        <x:v>Full suite: 2026-09-30 17:09:30</x:v>
      </x:c>
    </x:row>
    <x:row r="42" ht="49" customHeight="1">
      <x:c r="A42" s="8" t="str">
        <x:v>UC-AUTH-04</x:v>
      </x:c>
      <x:c r="B42" s="8" t="str">
        <x:v>TS004</x:v>
      </x:c>
      <x:c r="C42" s="8" t="str">
        <x:v>SEC-005</x:v>
      </x:c>
      <x:c r="D42" s="8" t="str">
        <x:v>Security / MVC</x:v>
      </x:c>
      <x:c r="E42" s="8" t="str">
        <x:v>POST /api/auth/logout</x:v>
      </x:c>
      <x:c r="F42" s="8" t="str">
        <x:v>Logout without CSRF</x:v>
      </x:c>
      <x:c r="G42" s="8" t="str">
        <x:v>Session contains userId</x:v>
      </x:c>
      <x:c r="H42" s="8" t="str">
        <x:v>204 No Content; session invalidated</x:v>
      </x:c>
      <x:c r="I42" s="8" t="str">
        <x:v>Assertions passed</x:v>
      </x:c>
      <x:c r="J42" s="15" t="str">
        <x:v>Pass</x:v>
      </x:c>
      <x:c r="K42" s="8" t="str">
        <x:v>WebMvcTest / Security</x:v>
      </x:c>
      <x:c r="L42" s="8" t="str">
        <x:v>AuthSecurityWebMvcTest.loggedInUser_canLogoutWithoutCsrfToken</x:v>
      </x:c>
      <x:c r="M42" s="8" t="str">
        <x:v>Full suite: 2026-09-30 17:09:30</x:v>
      </x:c>
    </x:row>
    <x:row r="43" ht="49" customHeight="1">
      <x:c r="A43" s="8" t="str">
        <x:v>UC-AUTH-04</x:v>
      </x:c>
      <x:c r="B43" s="8" t="str">
        <x:v>TS004</x:v>
      </x:c>
      <x:c r="C43" s="8" t="str">
        <x:v>SEC-006</x:v>
      </x:c>
      <x:c r="D43" s="8" t="str">
        <x:v>Security / MVC</x:v>
      </x:c>
      <x:c r="E43" s="8" t="str">
        <x:v>POST /api/auth/register</x:v>
      </x:c>
      <x:c r="F43" s="8" t="str">
        <x:v>Malformed registration JSON</x:v>
      </x:c>
      <x:c r="G43" s="8" t="str">
        <x:v>CSRF token omitted</x:v>
      </x:c>
      <x:c r="H43" s="8" t="str">
        <x:v>400 Bad Request</x:v>
      </x:c>
      <x:c r="I43" s="8" t="str">
        <x:v>Assertions passed</x:v>
      </x:c>
      <x:c r="J43" s="15" t="str">
        <x:v>Pass</x:v>
      </x:c>
      <x:c r="K43" s="8" t="str">
        <x:v>WebMvcTest / Security</x:v>
      </x:c>
      <x:c r="L43" s="8" t="str">
        <x:v>AuthSecurityWebMvcTest.anonymousRegistration_withMalformedJson_returns400</x:v>
      </x:c>
      <x:c r="M43" s="8" t="str">
        <x:v>Full suite: 2026-09-30 17:09:30</x:v>
      </x:c>
    </x:row>
    <x:row r="44" ht="49" customHeight="1">
      <x:c r="A44" s="8" t="str">
        <x:v>UC-AUTH-04</x:v>
      </x:c>
      <x:c r="B44" s="8" t="str">
        <x:v>TS004</x:v>
      </x:c>
      <x:c r="C44" s="8" t="str">
        <x:v>SEC-007</x:v>
      </x:c>
      <x:c r="D44" s="8" t="str">
        <x:v>Security / MVC</x:v>
      </x:c>
      <x:c r="E44" s="8" t="str">
        <x:v>POST /api/auth/login</x:v>
      </x:c>
      <x:c r="F44" s="8" t="str">
        <x:v>Login without body</x:v>
      </x:c>
      <x:c r="G44" s="8" t="str">
        <x:v>CSRF token omitted</x:v>
      </x:c>
      <x:c r="H44" s="8" t="str">
        <x:v>400 Bad Request</x:v>
      </x:c>
      <x:c r="I44" s="8" t="str">
        <x:v>Assertions passed</x:v>
      </x:c>
      <x:c r="J44" s="15" t="str">
        <x:v>Pass</x:v>
      </x:c>
      <x:c r="K44" s="8" t="str">
        <x:v>WebMvcTest / Security</x:v>
      </x:c>
      <x:c r="L44" s="8" t="str">
        <x:v>AuthSecurityWebMvcTest.anonymousLogin_withoutBody_returns400</x:v>
      </x:c>
      <x:c r="M44" s="8" t="str">
        <x:v>Full suite: 2026-09-30 17:09:30</x:v>
      </x:c>
    </x:row>
    <x:row r="45" ht="49" customHeight="1">
      <x:c r="A45" s="8" t="str">
        <x:v>UC-AUTH-04</x:v>
      </x:c>
      <x:c r="B45" s="8" t="str">
        <x:v>TS004</x:v>
      </x:c>
      <x:c r="C45" s="8" t="str">
        <x:v>SEC-008</x:v>
      </x:c>
      <x:c r="D45" s="8" t="str">
        <x:v>Security / MVC</x:v>
      </x:c>
      <x:c r="E45" s="8" t="str">
        <x:v>POST /api/auth/logout</x:v>
      </x:c>
      <x:c r="F45" s="8" t="str">
        <x:v>Anonymous logout without CSRF</x:v>
      </x:c>
      <x:c r="G45" s="8" t="str">
        <x:v>Security filter chain enabled</x:v>
      </x:c>
      <x:c r="H45" s="8" t="str">
        <x:v>204 No Content</x:v>
      </x:c>
      <x:c r="I45" s="8" t="str">
        <x:v>Assertions passed</x:v>
      </x:c>
      <x:c r="J45" s="15" t="str">
        <x:v>Pass</x:v>
      </x:c>
      <x:c r="K45" s="8" t="str">
        <x:v>WebMvcTest / Security</x:v>
      </x:c>
      <x:c r="L45" s="8" t="str">
        <x:v>AuthSecurityWebMvcTest.anonymousLogout_withoutCsrfToken_returns204</x:v>
      </x:c>
      <x:c r="M45" s="8" t="str">
        <x:v>Full suite: 2026-09-30 17:09:30</x:v>
      </x:c>
    </x:row>
    <x:row r="46" ht="49" customHeight="1">
      <x:c r="A46" s="8" t="str">
        <x:v>UC-AUTH-04</x:v>
      </x:c>
      <x:c r="B46" s="8" t="str">
        <x:v>TS004</x:v>
      </x:c>
      <x:c r="C46" s="8" t="str">
        <x:v>SEC-009</x:v>
      </x:c>
      <x:c r="D46" s="8" t="str">
        <x:v>Security / MVC</x:v>
      </x:c>
      <x:c r="E46" s="8" t="str">
        <x:v>POST /api/auth/login</x:v>
      </x:c>
      <x:c r="F46" s="8" t="str">
        <x:v>Malformed login JSON</x:v>
      </x:c>
      <x:c r="G46" s="8" t="str">
        <x:v>CSRF token omitted</x:v>
      </x:c>
      <x:c r="H46" s="8" t="str">
        <x:v>400 Bad Request</x:v>
      </x:c>
      <x:c r="I46" s="8" t="str">
        <x:v>Assertions passed</x:v>
      </x:c>
      <x:c r="J46" s="15" t="str">
        <x:v>Pass</x:v>
      </x:c>
      <x:c r="K46" s="8" t="str">
        <x:v>WebMvcTest / Security</x:v>
      </x:c>
      <x:c r="L46" s="8" t="str">
        <x:v>AuthSecurityWebMvcTest.anonymousLogin_withMalformedJson_returns400</x:v>
      </x:c>
      <x:c r="M46" s="8" t="str">
        <x:v>Full suite: 2026-09-30 17:09:30</x:v>
      </x:c>
    </x:row>
    <x:row r="47" ht="21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</x:row>
    <x:row r="48" ht="21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6" hidden="0" customWidth="1"/>
    <x:col min="3" max="3" width="55" hidden="0" customWidth="1"/>
    <x:col min="4" max="4" width="18" hidden="0" customWidth="1"/>
    <x:col min="5" max="5" width="12" hidden="0" customWidth="1"/>
    <x:col min="6" max="6" width="13" hidden="0" customWidth="1"/>
    <x:col min="7" max="7" width="16" hidden="0" customWidth="1"/>
    <x:col min="8" max="8" width="14" hidden="0" customWidth="1"/>
    <x:col min="9" max="9" width="44" hidden="0" customWidth="1"/>
  </x:cols>
  <x:sheetData>
    <x:row r="1" ht="32" customHeight="1">
      <x:c r="A1" s="10" t="str">
        <x:v>Test Scenario Summary</x:v>
      </x:c>
      <x:c r="B1" s="10"/>
      <x:c r="C1" s="10"/>
      <x:c r="D1" s="10"/>
      <x:c r="E1" s="10"/>
      <x:c r="F1" s="10"/>
      <x:c r="G1" s="10"/>
      <x:c r="H1" s="10"/>
      <x:c r="I1" s="10"/>
    </x:row>
    <x:row r="2" ht="21" customHeight="1">
      <x:c r="A2" s="8"/>
      <x:c r="B2" s="8"/>
      <x:c r="C2" s="8"/>
      <x:c r="D2" s="8"/>
      <x:c r="E2" s="8"/>
      <x:c r="F2" s="8"/>
      <x:c r="G2" s="8"/>
      <x:c r="H2" s="8"/>
      <x:c r="I2" s="8"/>
    </x:row>
    <x:row r="3" ht="21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4" ht="28" customHeight="1">
      <x:c r="A4" s="12" t="str">
        <x:v>Use Case ID</x:v>
      </x:c>
      <x:c r="B4" s="12" t="str">
        <x:v>Scenario ID</x:v>
      </x:c>
      <x:c r="C4" s="12" t="str">
        <x:v>Test Scenario</x:v>
      </x:c>
      <x:c r="D4" s="14" t="str">
        <x:v>No. of Cases</x:v>
      </x:c>
      <x:c r="E4" s="14" t="str">
        <x:v>Pass</x:v>
      </x:c>
      <x:c r="F4" s="14" t="str">
        <x:v>Fail</x:v>
      </x:c>
      <x:c r="G4" s="14" t="str">
        <x:v>Not Run</x:v>
      </x:c>
      <x:c r="H4" s="14" t="str">
        <x:v>Blocked</x:v>
      </x:c>
      <x:c r="I4" s="12" t="str">
        <x:v>Remarks</x:v>
      </x:c>
    </x:row>
    <x:row r="5" ht="32" customHeight="1">
      <x:c r="A5" s="8" t="str">
        <x:v>UC-AUTH-01</x:v>
      </x:c>
      <x:c r="B5" s="8" t="str">
        <x:v>TS001</x:v>
      </x:c>
      <x:c r="C5" s="8" t="str">
        <x:v>Registration: valid, invalid and duplicate email</x:v>
      </x:c>
      <x:c r="D5" s="15" t="n">
        <x:f>COUNTIF('Test Case Design &amp; Test Results'!$B$5:$B$46,B5)</x:f>
        <x:v>12</x:v>
      </x:c>
      <x:c r="E5" s="15" t="n">
        <x:f>COUNTIFS('Test Case Design &amp; Test Results'!$B$5:$B$46,B5,'Test Case Design &amp; Test Results'!$J$5:$J$46,"Pass")</x:f>
        <x:v>12</x:v>
      </x:c>
      <x:c r="F5" s="15" t="n">
        <x:f>COUNTIFS('Test Case Design &amp; Test Results'!$B$5:$B$46,B5,'Test Case Design &amp; Test Results'!$J$5:$J$46,"Fail")</x:f>
        <x:v>0</x:v>
      </x:c>
      <x:c r="G5" s="15" t="n">
        <x:f>COUNTIFS('Test Case Design &amp; Test Results'!$B$5:$B$46,B5,'Test Case Design &amp; Test Results'!$J$5:$J$46,"No run")</x:f>
        <x:v>0</x:v>
      </x:c>
      <x:c r="H5" s="15" t="n">
        <x:f>COUNTIFS('Test Case Design &amp; Test Results'!$B$5:$B$46,B5,'Test Case Design &amp; Test Results'!$J$5:$J$46,"Block")</x:f>
        <x:v>0</x:v>
      </x:c>
      <x:c r="I5" s="8" t="str">
        <x:v>AuthService.register</x:v>
      </x:c>
    </x:row>
    <x:row r="6" ht="32" customHeight="1">
      <x:c r="A6" s="8" t="str">
        <x:v>UC-AUTH-02</x:v>
      </x:c>
      <x:c r="B6" s="8" t="str">
        <x:v>TS002</x:v>
      </x:c>
      <x:c r="C6" s="8" t="str">
        <x:v>Login: valid/invalid credentials and account status</x:v>
      </x:c>
      <x:c r="D6" s="15" t="n">
        <x:f>COUNTIF('Test Case Design &amp; Test Results'!$B$5:$B$46,B6)</x:f>
        <x:v>11</x:v>
      </x:c>
      <x:c r="E6" s="15" t="n">
        <x:f>COUNTIFS('Test Case Design &amp; Test Results'!$B$5:$B$46,B6,'Test Case Design &amp; Test Results'!$J$5:$J$46,"Pass")</x:f>
        <x:v>11</x:v>
      </x:c>
      <x:c r="F6" s="15" t="n">
        <x:f>COUNTIFS('Test Case Design &amp; Test Results'!$B$5:$B$46,B6,'Test Case Design &amp; Test Results'!$J$5:$J$46,"Fail")</x:f>
        <x:v>0</x:v>
      </x:c>
      <x:c r="G6" s="15" t="n">
        <x:f>COUNTIFS('Test Case Design &amp; Test Results'!$B$5:$B$46,B6,'Test Case Design &amp; Test Results'!$J$5:$J$46,"No run")</x:f>
        <x:v>0</x:v>
      </x:c>
      <x:c r="H6" s="15" t="n">
        <x:f>COUNTIFS('Test Case Design &amp; Test Results'!$B$5:$B$46,B6,'Test Case Design &amp; Test Results'!$J$5:$J$46,"Block")</x:f>
        <x:v>0</x:v>
      </x:c>
      <x:c r="I6" s="8" t="str">
        <x:v>AuthService.login</x:v>
      </x:c>
    </x:row>
    <x:row r="7" ht="32" customHeight="1">
      <x:c r="A7" s="8" t="str">
        <x:v>UC-AUTH-03</x:v>
      </x:c>
      <x:c r="B7" s="8" t="str">
        <x:v>TS003</x:v>
      </x:c>
      <x:c r="C7" s="8" t="str">
        <x:v>Controller: HTTP responses, JSON and session</x:v>
      </x:c>
      <x:c r="D7" s="15" t="n">
        <x:f>COUNTIF('Test Case Design &amp; Test Results'!$B$5:$B$46,B7)</x:f>
        <x:v>10</x:v>
      </x:c>
      <x:c r="E7" s="15" t="n">
        <x:f>COUNTIFS('Test Case Design &amp; Test Results'!$B$5:$B$46,B7,'Test Case Design &amp; Test Results'!$J$5:$J$46,"Pass")</x:f>
        <x:v>10</x:v>
      </x:c>
      <x:c r="F7" s="15" t="n">
        <x:f>COUNTIFS('Test Case Design &amp; Test Results'!$B$5:$B$46,B7,'Test Case Design &amp; Test Results'!$J$5:$J$46,"Fail")</x:f>
        <x:v>0</x:v>
      </x:c>
      <x:c r="G7" s="15" t="n">
        <x:f>COUNTIFS('Test Case Design &amp; Test Results'!$B$5:$B$46,B7,'Test Case Design &amp; Test Results'!$J$5:$J$46,"No run")</x:f>
        <x:v>0</x:v>
      </x:c>
      <x:c r="H7" s="15" t="n">
        <x:f>COUNTIFS('Test Case Design &amp; Test Results'!$B$5:$B$46,B7,'Test Case Design &amp; Test Results'!$J$5:$J$46,"Block")</x:f>
        <x:v>0</x:v>
      </x:c>
      <x:c r="I7" s="8" t="str">
        <x:v>AuthControllerMvcTest</x:v>
      </x:c>
    </x:row>
    <x:row r="8" ht="32" customHeight="1">
      <x:c r="A8" s="8" t="str">
        <x:v>UC-AUTH-04</x:v>
      </x:c>
      <x:c r="B8" s="8" t="str">
        <x:v>TS004</x:v>
      </x:c>
      <x:c r="C8" s="8" t="str">
        <x:v>Authentication endpoints with Spring Security</x:v>
      </x:c>
      <x:c r="D8" s="15" t="n">
        <x:f>COUNTIF('Test Case Design &amp; Test Results'!$B$5:$B$46,B8)</x:f>
        <x:v>9</x:v>
      </x:c>
      <x:c r="E8" s="15" t="n">
        <x:f>COUNTIFS('Test Case Design &amp; Test Results'!$B$5:$B$46,B8,'Test Case Design &amp; Test Results'!$J$5:$J$46,"Pass")</x:f>
        <x:v>9</x:v>
      </x:c>
      <x:c r="F8" s="15" t="n">
        <x:f>COUNTIFS('Test Case Design &amp; Test Results'!$B$5:$B$46,B8,'Test Case Design &amp; Test Results'!$J$5:$J$46,"Fail")</x:f>
        <x:v>0</x:v>
      </x:c>
      <x:c r="G8" s="15" t="n">
        <x:f>COUNTIFS('Test Case Design &amp; Test Results'!$B$5:$B$46,B8,'Test Case Design &amp; Test Results'!$J$5:$J$46,"No run")</x:f>
        <x:v>0</x:v>
      </x:c>
      <x:c r="H8" s="15" t="n">
        <x:f>COUNTIFS('Test Case Design &amp; Test Results'!$B$5:$B$46,B8,'Test Case Design &amp; Test Results'!$J$5:$J$46,"Block")</x:f>
        <x:v>0</x:v>
      </x:c>
      <x:c r="I8" s="8" t="str">
        <x:v>AuthSecurityWebMvcTest</x:v>
      </x:c>
    </x:row>
    <x:row r="9" ht="21" customHeight="1">
      <x:c r="A9" s="8"/>
      <x:c r="B9" s="8"/>
      <x:c r="C9" s="8"/>
      <x:c r="D9" s="8"/>
      <x:c r="E9" s="8"/>
      <x:c r="F9" s="8"/>
      <x:c r="G9" s="8"/>
      <x:c r="H9" s="8"/>
      <x:c r="I9" s="8"/>
    </x:row>
    <x:row r="10" ht="21" customHeight="1">
      <x:c r="A10" s="8" t="str">
        <x:v>Case counts and results are calculated from the Test Case Design sheet.</x:v>
      </x:c>
      <x:c r="B10" s="8"/>
      <x:c r="C10" s="8"/>
      <x:c r="D10" s="8"/>
      <x:c r="E10" s="8"/>
      <x:c r="F10" s="8"/>
      <x:c r="G10" s="8"/>
      <x:c r="H10" s="8"/>
      <x:c r="I10" s="8"/>
    </x:row>
    <x:row r="11" ht="21" customHeight="1">
      <x:c r="A11" s="8"/>
      <x:c r="B11" s="8"/>
      <x:c r="C11" s="8"/>
      <x:c r="D11" s="8"/>
      <x:c r="E11" s="8"/>
      <x:c r="F11" s="8"/>
      <x:c r="G11" s="8"/>
      <x:c r="H11" s="8"/>
      <x:c r="I11" s="8"/>
    </x:row>
    <x:row r="12" ht="21" customHeight="1">
      <x:c r="A12" s="8"/>
      <x:c r="B12" s="8"/>
      <x:c r="C12" s="8"/>
      <x:c r="D12" s="8"/>
      <x:c r="E12" s="8"/>
      <x:c r="F12" s="8"/>
      <x:c r="G12" s="8"/>
      <x:c r="H12" s="8"/>
      <x:c r="I12" s="8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47" hidden="0" customWidth="1"/>
    <x:col min="4" max="4" width="18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17" hidden="0" customWidth="1"/>
    <x:col min="10" max="10" width="21" hidden="0" customWidth="1"/>
    <x:col min="11" max="11" width="52" hidden="0" customWidth="1"/>
  </x:cols>
  <x:sheetData>
    <x:row r="1" ht="32" customHeight="1">
      <x:c r="A1" s="10" t="str">
        <x:v>Defect Summary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1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21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 ht="28" customHeight="1">
      <x:c r="A4" s="14" t="str">
        <x:v>No.</x:v>
      </x:c>
      <x:c r="B4" s="14" t="str">
        <x:v>Defect ID</x:v>
      </x:c>
      <x:c r="C4" s="12" t="str">
        <x:v>Defect Title</x:v>
      </x:c>
      <x:c r="D4" s="14" t="str">
        <x:v>Reported On</x:v>
      </x:c>
      <x:c r="E4" s="14" t="str">
        <x:v>Fixed On</x:v>
      </x:c>
      <x:c r="F4" s="14" t="str">
        <x:v>Reporter</x:v>
      </x:c>
      <x:c r="G4" s="14" t="str">
        <x:v>Status</x:v>
      </x:c>
      <x:c r="H4" s="14" t="str">
        <x:v>Severity</x:v>
      </x:c>
      <x:c r="I4" s="14" t="str">
        <x:v>Priority</x:v>
      </x:c>
      <x:c r="J4" s="14" t="str">
        <x:v>Closed By</x:v>
      </x:c>
      <x:c r="K4" s="12" t="str">
        <x:v>Evidence / Reproduction Steps</x:v>
      </x:c>
    </x:row>
    <x:row r="5" ht="21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 ht="21" customHeight="1">
      <x:c r="A6" s="8" t="str">
        <x:v>No confirmed defects were recorded in these test runs.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</x:row>
    <x:row r="7" ht="21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</x:row>
    <x:row r="8" ht="21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</x:row>
    <x:row r="9" ht="21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</x:row>
    <x:row r="10" ht="21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56" hidden="0" customWidth="1"/>
    <x:col min="4" max="4" width="26" hidden="0" customWidth="1"/>
    <x:col min="5" max="5" width="70" hidden="0" customWidth="1"/>
  </x:cols>
  <x:sheetData>
    <x:row r="1" ht="32" customHeight="1">
      <x:c r="A1" s="10" t="str">
        <x:v>TS001 - Registration service</x:v>
      </x:c>
      <x:c r="B1" s="10"/>
      <x:c r="C1" s="10"/>
      <x:c r="D1" s="10"/>
      <x:c r="E1" s="10"/>
    </x:row>
    <x:row r="2" ht="21" customHeight="1">
      <x:c r="A2" s="8"/>
      <x:c r="B2" s="8"/>
      <x:c r="C2" s="8"/>
      <x:c r="D2" s="8"/>
      <x:c r="E2" s="8"/>
    </x:row>
    <x:row r="3" ht="21" customHeight="1">
      <x:c r="A3" s="8"/>
      <x:c r="B3" s="8"/>
      <x:c r="C3" s="8"/>
      <x:c r="D3" s="8"/>
      <x:c r="E3" s="8"/>
    </x:row>
    <x:row r="4" ht="23" customHeight="1">
      <x:c r="A4" s="12" t="str">
        <x:v>Scenario ID</x:v>
      </x:c>
      <x:c r="B4" s="8" t="str">
        <x:v>TS001</x:v>
      </x:c>
      <x:c r="C4" s="8"/>
      <x:c r="D4" s="8"/>
      <x:c r="E4" s="8"/>
    </x:row>
    <x:row r="5" ht="23" customHeight="1">
      <x:c r="A5" s="12" t="str">
        <x:v>Use Case ID</x:v>
      </x:c>
      <x:c r="B5" s="8" t="str">
        <x:v>UC-AUTH-01</x:v>
      </x:c>
      <x:c r="C5" s="8"/>
      <x:c r="D5" s="8"/>
      <x:c r="E5" s="8"/>
    </x:row>
    <x:row r="6" ht="23" customHeight="1">
      <x:c r="A6" s="12" t="str">
        <x:v>Test Scenario</x:v>
      </x:c>
      <x:c r="B6" s="8" t="str">
        <x:v>Registration service</x:v>
      </x:c>
      <x:c r="C6" s="8"/>
      <x:c r="D6" s="8"/>
      <x:c r="E6" s="8"/>
    </x:row>
    <x:row r="7" ht="23" customHeight="1">
      <x:c r="A7" s="12" t="str">
        <x:v>JUnit Test Class</x:v>
      </x:c>
      <x:c r="B7" s="8" t="str">
        <x:v>AuthServiceRegisterTest</x:v>
      </x:c>
      <x:c r="C7" s="8"/>
      <x:c r="D7" s="8"/>
      <x:c r="E7" s="8"/>
    </x:row>
    <x:row r="8" ht="23" customHeight="1">
      <x:c r="A8" s="12" t="str">
        <x:v>Result</x:v>
      </x:c>
      <x:c r="B8" s="8" t="str">
        <x:v>12/12 passed</x:v>
      </x:c>
      <x:c r="C8" s="8"/>
      <x:c r="D8" s="8"/>
      <x:c r="E8" s="8"/>
    </x:row>
    <x:row r="9" ht="23" customHeight="1">
      <x:c r="A9" s="12" t="str">
        <x:v>Test Date</x:v>
      </x:c>
      <x:c r="B9" s="8" t="str">
        <x:v>2026-09-30</x:v>
      </x:c>
      <x:c r="C9" s="8"/>
      <x:c r="D9" s="8"/>
      <x:c r="E9" s="8"/>
    </x:row>
    <x:row r="10" ht="21" customHeight="1">
      <x:c r="A10" s="8"/>
      <x:c r="B10" s="8"/>
      <x:c r="C10" s="8"/>
      <x:c r="D10" s="8"/>
      <x:c r="E10" s="8"/>
    </x:row>
    <x:row r="11" ht="28" customHeight="1">
      <x:c r="A11" s="12" t="str">
        <x:v>Test Case ID</x:v>
      </x:c>
      <x:c r="B11" s="12" t="str">
        <x:v>Test Condition</x:v>
      </x:c>
      <x:c r="C11" s="12" t="str">
        <x:v>Expected Result</x:v>
      </x:c>
      <x:c r="D11" s="14" t="str">
        <x:v>Actual / Status</x:v>
      </x:c>
      <x:c r="E11" s="12" t="str">
        <x:v>JUnit Method</x:v>
      </x:c>
    </x:row>
    <x:row r="12" ht="44" customHeight="1">
      <x:c r="A12" s="8" t="str">
        <x:v>REG-001</x:v>
      </x:c>
      <x:c r="B12" s="8" t="str">
        <x:v>Valid email and password; first and last name provided</x:v>
      </x:c>
      <x:c r="C12" s="8" t="str">
        <x:v>Returns a new user; save is called once</x:v>
      </x:c>
      <x:c r="D12" s="15" t="str">
        <x:v>Pass</x:v>
      </x:c>
      <x:c r="E12" s="8" t="str">
        <x:v>register_validData_savesUser</x:v>
      </x:c>
    </x:row>
    <x:row r="13" ht="44" customHeight="1">
      <x:c r="A13" s="8" t="str">
        <x:v>REG-002</x:v>
      </x:c>
      <x:c r="B13" s="8" t="str">
        <x:v>Null RegisterRequest</x:v>
      </x:c>
      <x:c r="C13" s="8" t="str">
        <x:v>Throws "Registration request is required"</x:v>
      </x:c>
      <x:c r="D13" s="15" t="str">
        <x:v>Pass</x:v>
      </x:c>
      <x:c r="E13" s="8" t="str">
        <x:v>register_nullRequest_throwsRequiredRequest</x:v>
      </x:c>
    </x:row>
    <x:row r="14" ht="44" customHeight="1">
      <x:c r="A14" s="8" t="str">
        <x:v>REG-003</x:v>
      </x:c>
      <x:c r="B14" s="8" t="str">
        <x:v>email = null</x:v>
      </x:c>
      <x:c r="C14" s="8" t="str">
        <x:v>Throws "Email is required"</x:v>
      </x:c>
      <x:c r="D14" s="15" t="str">
        <x:v>Pass</x:v>
      </x:c>
      <x:c r="E14" s="8" t="str">
        <x:v>register_nullEmail_throwsRequiredEmail</x:v>
      </x:c>
    </x:row>
    <x:row r="15" ht="44" customHeight="1">
      <x:c r="A15" s="8" t="str">
        <x:v>REG-004</x:v>
      </x:c>
      <x:c r="B15" s="8" t="str">
        <x:v>email = three spaces</x:v>
      </x:c>
      <x:c r="C15" s="8" t="str">
        <x:v>Throws "Email is required"</x:v>
      </x:c>
      <x:c r="D15" s="15" t="str">
        <x:v>Pass</x:v>
      </x:c>
      <x:c r="E15" s="8" t="str">
        <x:v>register_blankEmail_throwsRequiredEmail</x:v>
      </x:c>
    </x:row>
    <x:row r="16" ht="44" customHeight="1">
      <x:c r="A16" s="8" t="str">
        <x:v>REG-005</x:v>
      </x:c>
      <x:c r="B16" s="8" t="str">
        <x:v>password = null</x:v>
      </x:c>
      <x:c r="C16" s="8" t="str">
        <x:v>Throws "Password is required"</x:v>
      </x:c>
      <x:c r="D16" s="15" t="str">
        <x:v>Pass</x:v>
      </x:c>
      <x:c r="E16" s="8" t="str">
        <x:v>register_nullPassword_throwsRequiredPassword</x:v>
      </x:c>
    </x:row>
    <x:row r="17" ht="44" customHeight="1">
      <x:c r="A17" s="8" t="str">
        <x:v>REG-006</x:v>
      </x:c>
      <x:c r="B17" s="8" t="str">
        <x:v>password = three spaces</x:v>
      </x:c>
      <x:c r="C17" s="8" t="str">
        <x:v>Throws "Password is required"</x:v>
      </x:c>
      <x:c r="D17" s="15" t="str">
        <x:v>Pass</x:v>
      </x:c>
      <x:c r="E17" s="8" t="str">
        <x:v>register_blankPassword_throwsRequiredPassword</x:v>
      </x:c>
    </x:row>
    <x:row r="18" ht="44" customHeight="1">
      <x:c r="A18" s="8" t="str">
        <x:v>REG-007</x:v>
      </x:c>
      <x:c r="B18" s="8" t="str">
        <x:v>password = 1234567 (7 characters)</x:v>
      </x:c>
      <x:c r="C18" s="8" t="str">
        <x:v>Throws "Password must be at least 8 characters"</x:v>
      </x:c>
      <x:c r="D18" s="15" t="str">
        <x:v>Pass</x:v>
      </x:c>
      <x:c r="E18" s="8" t="str">
        <x:v>register_sevenCharacterPassword_rejected</x:v>
      </x:c>
    </x:row>
    <x:row r="19" ht="44" customHeight="1">
      <x:c r="A19" s="8" t="str">
        <x:v>REG-008</x:v>
      </x:c>
      <x:c r="B19" s="8" t="str">
        <x:v>password = 12345678 (8 characters)</x:v>
      </x:c>
      <x:c r="C19" s="8" t="str">
        <x:v>Password is accepted and user is saved</x:v>
      </x:c>
      <x:c r="D19" s="15" t="str">
        <x:v>Pass</x:v>
      </x:c>
      <x:c r="E19" s="8" t="str">
        <x:v>register_eightCharacterPassword_accepted</x:v>
      </x:c>
    </x:row>
    <x:row r="20" ht="44" customHeight="1">
      <x:c r="A20" s="8" t="str">
        <x:v>REG-009</x:v>
      </x:c>
      <x:c r="B20" s="8" t="str">
        <x:v>Email already exists</x:v>
      </x:c>
      <x:c r="C20" s="8" t="str">
        <x:v>Throws "Email already exists"; user is not saved</x:v>
      </x:c>
      <x:c r="D20" s="15" t="str">
        <x:v>Pass</x:v>
      </x:c>
      <x:c r="E20" s="8" t="str">
        <x:v>register_duplicateEmail_rejectedWithoutSaving</x:v>
      </x:c>
    </x:row>
    <x:row r="21" ht="44" customHeight="1">
      <x:c r="A21" s="8" t="str">
        <x:v>REG-010</x:v>
      </x:c>
      <x:c r="B21" s="8" t="str">
        <x:v>email = "  STUDENT@KKU.AC.TH  "</x:v>
      </x:c>
      <x:c r="C21" s="8" t="str">
        <x:v>Trims and lowercases email before saving</x:v>
      </x:c>
      <x:c r="D21" s="15" t="str">
        <x:v>Pass</x:v>
      </x:c>
      <x:c r="E21" s="8" t="str">
        <x:v>register_spacedUppercaseEmail_normalized</x:v>
      </x:c>
    </x:row>
    <x:row r="22" ht="44" customHeight="1">
      <x:c r="A22" s="8" t="str">
        <x:v>REG-011</x:v>
      </x:c>
      <x:c r="B22" s="8" t="str">
        <x:v>Valid registration data</x:v>
      </x:c>
      <x:c r="C22" s="8" t="str">
        <x:v>Stores encoded password and sets status to ACTIVE</x:v>
      </x:c>
      <x:c r="D22" s="15" t="str">
        <x:v>Pass</x:v>
      </x:c>
      <x:c r="E22" s="8" t="str">
        <x:v>register_validData_encodesPasswordAndSetsActive</x:v>
      </x:c>
    </x:row>
    <x:row r="23" ht="44" customHeight="1">
      <x:c r="A23" s="8" t="str">
        <x:v>REG-012</x:v>
      </x:c>
      <x:c r="B23" s="8" t="str">
        <x:v>email = empty string</x:v>
      </x:c>
      <x:c r="C23" s="8" t="str">
        <x:v>Rejects input without calling repository or encoder</x:v>
      </x:c>
      <x:c r="D23" s="15" t="str">
        <x:v>Pass</x:v>
      </x:c>
      <x:c r="E23" s="8" t="str">
        <x:v>register_invalidEmail_doesNotAccessDependencies</x:v>
      </x:c>
    </x:row>
    <x:row r="24" ht="21" customHeight="1">
      <x:c r="A24" s="8"/>
      <x:c r="B24" s="8"/>
      <x:c r="C24" s="8"/>
      <x:c r="D24" s="8"/>
      <x:c r="E24" s="8"/>
    </x:row>
    <x:row r="25" ht="21" customHeight="1">
      <x:c r="A25" s="8"/>
      <x:c r="B25" s="8"/>
      <x:c r="C25" s="8"/>
      <x:c r="D25" s="8"/>
      <x:c r="E25" s="8"/>
    </x:row>
    <x:row r="26" ht="21" customHeight="1">
      <x:c r="A26" s="8"/>
      <x:c r="B26" s="8"/>
      <x:c r="C26" s="8"/>
      <x:c r="D26" s="8"/>
      <x:c r="E26" s="8"/>
    </x:row>
    <x:row r="27" ht="21" customHeight="1">
      <x:c r="A27" s="8"/>
      <x:c r="B27" s="8"/>
      <x:c r="C27" s="8"/>
      <x:c r="D27" s="8"/>
      <x:c r="E27" s="8"/>
    </x:row>
    <x:row r="28" ht="21" customHeight="1">
      <x:c r="A28" s="8"/>
      <x:c r="B28" s="8"/>
      <x:c r="C28" s="8"/>
      <x:c r="D28" s="8"/>
      <x:c r="E28" s="8"/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56" hidden="0" customWidth="1"/>
    <x:col min="4" max="4" width="26" hidden="0" customWidth="1"/>
    <x:col min="5" max="5" width="70" hidden="0" customWidth="1"/>
  </x:cols>
  <x:sheetData>
    <x:row r="1" ht="32" customHeight="1">
      <x:c r="A1" s="10" t="str">
        <x:v>TS002 - Login service</x:v>
      </x:c>
      <x:c r="B1" s="10"/>
      <x:c r="C1" s="10"/>
      <x:c r="D1" s="10"/>
      <x:c r="E1" s="10"/>
    </x:row>
    <x:row r="2" ht="21" customHeight="1">
      <x:c r="A2" s="8"/>
      <x:c r="B2" s="8"/>
      <x:c r="C2" s="8"/>
      <x:c r="D2" s="8"/>
      <x:c r="E2" s="8"/>
    </x:row>
    <x:row r="3" ht="21" customHeight="1">
      <x:c r="A3" s="8"/>
      <x:c r="B3" s="8"/>
      <x:c r="C3" s="8"/>
      <x:c r="D3" s="8"/>
      <x:c r="E3" s="8"/>
    </x:row>
    <x:row r="4" ht="23" customHeight="1">
      <x:c r="A4" s="12" t="str">
        <x:v>Scenario ID</x:v>
      </x:c>
      <x:c r="B4" s="8" t="str">
        <x:v>TS002</x:v>
      </x:c>
      <x:c r="C4" s="8"/>
      <x:c r="D4" s="8"/>
      <x:c r="E4" s="8"/>
    </x:row>
    <x:row r="5" ht="23" customHeight="1">
      <x:c r="A5" s="12" t="str">
        <x:v>Use Case ID</x:v>
      </x:c>
      <x:c r="B5" s="8" t="str">
        <x:v>UC-AUTH-02</x:v>
      </x:c>
      <x:c r="C5" s="8"/>
      <x:c r="D5" s="8"/>
      <x:c r="E5" s="8"/>
    </x:row>
    <x:row r="6" ht="23" customHeight="1">
      <x:c r="A6" s="12" t="str">
        <x:v>Test Scenario</x:v>
      </x:c>
      <x:c r="B6" s="8" t="str">
        <x:v>Login service</x:v>
      </x:c>
      <x:c r="C6" s="8"/>
      <x:c r="D6" s="8"/>
      <x:c r="E6" s="8"/>
    </x:row>
    <x:row r="7" ht="23" customHeight="1">
      <x:c r="A7" s="12" t="str">
        <x:v>JUnit Test Class</x:v>
      </x:c>
      <x:c r="B7" s="8" t="str">
        <x:v>AuthServiceLoginTest</x:v>
      </x:c>
      <x:c r="C7" s="8"/>
      <x:c r="D7" s="8"/>
      <x:c r="E7" s="8"/>
    </x:row>
    <x:row r="8" ht="23" customHeight="1">
      <x:c r="A8" s="12" t="str">
        <x:v>Result</x:v>
      </x:c>
      <x:c r="B8" s="8" t="str">
        <x:v>11/11 passed</x:v>
      </x:c>
      <x:c r="C8" s="8"/>
      <x:c r="D8" s="8"/>
      <x:c r="E8" s="8"/>
    </x:row>
    <x:row r="9" ht="23" customHeight="1">
      <x:c r="A9" s="12" t="str">
        <x:v>Test Date</x:v>
      </x:c>
      <x:c r="B9" s="8" t="str">
        <x:v>2026-09-30</x:v>
      </x:c>
      <x:c r="C9" s="8"/>
      <x:c r="D9" s="8"/>
      <x:c r="E9" s="8"/>
    </x:row>
    <x:row r="10" ht="21" customHeight="1">
      <x:c r="A10" s="8"/>
      <x:c r="B10" s="8"/>
      <x:c r="C10" s="8"/>
      <x:c r="D10" s="8"/>
      <x:c r="E10" s="8"/>
    </x:row>
    <x:row r="11" ht="28" customHeight="1">
      <x:c r="A11" s="12" t="str">
        <x:v>Test Case ID</x:v>
      </x:c>
      <x:c r="B11" s="12" t="str">
        <x:v>Test Condition</x:v>
      </x:c>
      <x:c r="C11" s="12" t="str">
        <x:v>Expected Result</x:v>
      </x:c>
      <x:c r="D11" s="14" t="str">
        <x:v>Actual / Status</x:v>
      </x:c>
      <x:c r="E11" s="12" t="str">
        <x:v>JUnit Method</x:v>
      </x:c>
    </x:row>
    <x:row r="12" ht="44" customHeight="1">
      <x:c r="A12" s="8" t="str">
        <x:v>LOGIN-001</x:v>
      </x:c>
      <x:c r="B12" s="8" t="str">
        <x:v>Valid email and password; ACTIVE account</x:v>
      </x:c>
      <x:c r="C12" s="8" t="str">
        <x:v>Returns the authenticated user</x:v>
      </x:c>
      <x:c r="D12" s="15" t="str">
        <x:v>Pass</x:v>
      </x:c>
      <x:c r="E12" s="8" t="str">
        <x:v>login_validCredentials_returnsUser</x:v>
      </x:c>
    </x:row>
    <x:row r="13" ht="44" customHeight="1">
      <x:c r="A13" s="8" t="str">
        <x:v>LOGIN-002</x:v>
      </x:c>
      <x:c r="B13" s="8" t="str">
        <x:v>Null LoginRequest</x:v>
      </x:c>
      <x:c r="C13" s="8" t="str">
        <x:v>Throws "Login request is required"</x:v>
      </x:c>
      <x:c r="D13" s="15" t="str">
        <x:v>Pass</x:v>
      </x:c>
      <x:c r="E13" s="8" t="str">
        <x:v>login_nullRequest_rejected</x:v>
      </x:c>
    </x:row>
    <x:row r="14" ht="44" customHeight="1">
      <x:c r="A14" s="8" t="str">
        <x:v>LOGIN-003</x:v>
      </x:c>
      <x:c r="B14" s="8" t="str">
        <x:v>email = null</x:v>
      </x:c>
      <x:c r="C14" s="8" t="str">
        <x:v>Throws "Email is required"</x:v>
      </x:c>
      <x:c r="D14" s="15" t="str">
        <x:v>Pass</x:v>
      </x:c>
      <x:c r="E14" s="8" t="str">
        <x:v>login_nullEmail_rejected</x:v>
      </x:c>
    </x:row>
    <x:row r="15" ht="44" customHeight="1">
      <x:c r="A15" s="8" t="str">
        <x:v>LOGIN-004</x:v>
      </x:c>
      <x:c r="B15" s="8" t="str">
        <x:v>email is blank</x:v>
      </x:c>
      <x:c r="C15" s="8" t="str">
        <x:v>Throws "Email is required"</x:v>
      </x:c>
      <x:c r="D15" s="15" t="str">
        <x:v>Pass</x:v>
      </x:c>
      <x:c r="E15" s="8" t="str">
        <x:v>login_blankEmail_rejected</x:v>
      </x:c>
    </x:row>
    <x:row r="16" ht="44" customHeight="1">
      <x:c r="A16" s="8" t="str">
        <x:v>LOGIN-005</x:v>
      </x:c>
      <x:c r="B16" s="8" t="str">
        <x:v>password = null</x:v>
      </x:c>
      <x:c r="C16" s="8" t="str">
        <x:v>Throws "Password is required"</x:v>
      </x:c>
      <x:c r="D16" s="15" t="str">
        <x:v>Pass</x:v>
      </x:c>
      <x:c r="E16" s="8" t="str">
        <x:v>login_nullPassword_rejected</x:v>
      </x:c>
    </x:row>
    <x:row r="17" ht="44" customHeight="1">
      <x:c r="A17" s="8" t="str">
        <x:v>LOGIN-006</x:v>
      </x:c>
      <x:c r="B17" s="8" t="str">
        <x:v>password is blank</x:v>
      </x:c>
      <x:c r="C17" s="8" t="str">
        <x:v>Throws "Password is required"</x:v>
      </x:c>
      <x:c r="D17" s="15" t="str">
        <x:v>Pass</x:v>
      </x:c>
      <x:c r="E17" s="8" t="str">
        <x:v>login_blankPassword_rejected</x:v>
      </x:c>
    </x:row>
    <x:row r="18" ht="44" customHeight="1">
      <x:c r="A18" s="8" t="str">
        <x:v>LOGIN-007</x:v>
      </x:c>
      <x:c r="B18" s="8" t="str">
        <x:v>Email does not exist</x:v>
      </x:c>
      <x:c r="C18" s="8" t="str">
        <x:v>Throws "Invalid email or password"</x:v>
      </x:c>
      <x:c r="D18" s="15" t="str">
        <x:v>Pass</x:v>
      </x:c>
      <x:c r="E18" s="8" t="str">
        <x:v>login_unknownEmail_rejected</x:v>
      </x:c>
    </x:row>
    <x:row r="19" ht="44" customHeight="1">
      <x:c r="A19" s="8" t="str">
        <x:v>LOGIN-008</x:v>
      </x:c>
      <x:c r="B19" s="8" t="str">
        <x:v>Account status is BLOCKED</x:v>
      </x:c>
      <x:c r="C19" s="8" t="str">
        <x:v>Throws "User account is not active"</x:v>
      </x:c>
      <x:c r="D19" s="15" t="str">
        <x:v>Pass</x:v>
      </x:c>
      <x:c r="E19" s="8" t="str">
        <x:v>login_blockedAccount_rejected</x:v>
      </x:c>
    </x:row>
    <x:row r="20" ht="44" customHeight="1">
      <x:c r="A20" s="8" t="str">
        <x:v>LOGIN-009</x:v>
      </x:c>
      <x:c r="B20" s="8" t="str">
        <x:v>Correct email, incorrect password</x:v>
      </x:c>
      <x:c r="C20" s="8" t="str">
        <x:v>Throws "Invalid email or password"</x:v>
      </x:c>
      <x:c r="D20" s="15" t="str">
        <x:v>Pass</x:v>
      </x:c>
      <x:c r="E20" s="8" t="str">
        <x:v>login_wrongPassword_rejected</x:v>
      </x:c>
    </x:row>
    <x:row r="21" ht="44" customHeight="1">
      <x:c r="A21" s="8" t="str">
        <x:v>LOGIN-010</x:v>
      </x:c>
      <x:c r="B21" s="8" t="str">
        <x:v>email = "  STUDENT@KKU.AC.TH  "</x:v>
      </x:c>
      <x:c r="C21" s="8" t="str">
        <x:v>Looks up the normalized email</x:v>
      </x:c>
      <x:c r="D21" s="15" t="str">
        <x:v>Pass</x:v>
      </x:c>
      <x:c r="E21" s="8" t="str">
        <x:v>login_spacedUppercaseEmail_normalized</x:v>
      </x:c>
    </x:row>
    <x:row r="22" ht="44" customHeight="1">
      <x:c r="A22" s="8" t="str">
        <x:v>LOGIN-011</x:v>
      </x:c>
      <x:c r="B22" s="8" t="str">
        <x:v>Account status is BLOCKED</x:v>
      </x:c>
      <x:c r="C22" s="8" t="str">
        <x:v>Rejects before checking password (no matches call)</x:v>
      </x:c>
      <x:c r="D22" s="15" t="str">
        <x:v>Pass</x:v>
      </x:c>
      <x:c r="E22" s="8" t="str">
        <x:v>login_blockedAccount_doesNotCheckPassword</x:v>
      </x:c>
    </x:row>
    <x:row r="23" ht="21" customHeight="1">
      <x:c r="A23" s="8"/>
      <x:c r="B23" s="8"/>
      <x:c r="C23" s="8"/>
      <x:c r="D23" s="8"/>
      <x:c r="E23" s="8"/>
    </x:row>
    <x:row r="24" ht="21" customHeight="1">
      <x:c r="A24" s="8"/>
      <x:c r="B24" s="8"/>
      <x:c r="C24" s="8"/>
      <x:c r="D24" s="8"/>
      <x:c r="E24" s="8"/>
    </x:row>
    <x:row r="25" ht="21" customHeight="1">
      <x:c r="A25" s="8"/>
      <x:c r="B25" s="8"/>
      <x:c r="C25" s="8"/>
      <x:c r="D25" s="8"/>
      <x:c r="E25" s="8"/>
    </x:row>
    <x:row r="26" ht="21" customHeight="1">
      <x:c r="A26" s="8"/>
      <x:c r="B26" s="8"/>
      <x:c r="C26" s="8"/>
      <x:c r="D26" s="8"/>
      <x:c r="E26" s="8"/>
    </x:row>
    <x:row r="27" ht="21" customHeight="1">
      <x:c r="A27" s="8"/>
      <x:c r="B27" s="8"/>
      <x:c r="C27" s="8"/>
      <x:c r="D27" s="8"/>
      <x:c r="E27" s="8"/>
    </x:row>
    <x:row r="28" ht="21" customHeight="1">
      <x:c r="A28" s="8"/>
      <x:c r="B28" s="8"/>
      <x:c r="C28" s="8"/>
      <x:c r="D28" s="8"/>
      <x:c r="E28" s="8"/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56" hidden="0" customWidth="1"/>
    <x:col min="4" max="4" width="26" hidden="0" customWidth="1"/>
    <x:col min="5" max="5" width="70" hidden="0" customWidth="1"/>
  </x:cols>
  <x:sheetData>
    <x:row r="1" ht="32" customHeight="1">
      <x:c r="A1" s="10" t="str">
        <x:v>TS003 - Authentication controller - HTTP and session</x:v>
      </x:c>
      <x:c r="B1" s="10"/>
      <x:c r="C1" s="10"/>
      <x:c r="D1" s="10"/>
      <x:c r="E1" s="10"/>
    </x:row>
    <x:row r="2" ht="21" customHeight="1">
      <x:c r="A2" s="8"/>
      <x:c r="B2" s="8"/>
      <x:c r="C2" s="8"/>
      <x:c r="D2" s="8"/>
      <x:c r="E2" s="8"/>
    </x:row>
    <x:row r="3" ht="21" customHeight="1">
      <x:c r="A3" s="8"/>
      <x:c r="B3" s="8"/>
      <x:c r="C3" s="8"/>
      <x:c r="D3" s="8"/>
      <x:c r="E3" s="8"/>
    </x:row>
    <x:row r="4" ht="23" customHeight="1">
      <x:c r="A4" s="12" t="str">
        <x:v>Scenario ID</x:v>
      </x:c>
      <x:c r="B4" s="8" t="str">
        <x:v>TS003</x:v>
      </x:c>
      <x:c r="C4" s="8"/>
      <x:c r="D4" s="8"/>
      <x:c r="E4" s="8"/>
    </x:row>
    <x:row r="5" ht="23" customHeight="1">
      <x:c r="A5" s="12" t="str">
        <x:v>Use Case ID</x:v>
      </x:c>
      <x:c r="B5" s="8" t="str">
        <x:v>UC-AUTH-03</x:v>
      </x:c>
      <x:c r="C5" s="8"/>
      <x:c r="D5" s="8"/>
      <x:c r="E5" s="8"/>
    </x:row>
    <x:row r="6" ht="23" customHeight="1">
      <x:c r="A6" s="12" t="str">
        <x:v>Test Scenario</x:v>
      </x:c>
      <x:c r="B6" s="8" t="str">
        <x:v>Authentication controller - HTTP and session</x:v>
      </x:c>
      <x:c r="C6" s="8"/>
      <x:c r="D6" s="8"/>
      <x:c r="E6" s="8"/>
    </x:row>
    <x:row r="7" ht="23" customHeight="1">
      <x:c r="A7" s="12" t="str">
        <x:v>JUnit Test Class</x:v>
      </x:c>
      <x:c r="B7" s="8" t="str">
        <x:v>AuthControllerMvcTest</x:v>
      </x:c>
      <x:c r="C7" s="8"/>
      <x:c r="D7" s="8"/>
      <x:c r="E7" s="8"/>
    </x:row>
    <x:row r="8" ht="23" customHeight="1">
      <x:c r="A8" s="12" t="str">
        <x:v>Result</x:v>
      </x:c>
      <x:c r="B8" s="8" t="str">
        <x:v>10/10 passed</x:v>
      </x:c>
      <x:c r="C8" s="8"/>
      <x:c r="D8" s="8"/>
      <x:c r="E8" s="8"/>
    </x:row>
    <x:row r="9" ht="23" customHeight="1">
      <x:c r="A9" s="12" t="str">
        <x:v>Test Date</x:v>
      </x:c>
      <x:c r="B9" s="8" t="str">
        <x:v>2026-09-30</x:v>
      </x:c>
      <x:c r="C9" s="8"/>
      <x:c r="D9" s="8"/>
      <x:c r="E9" s="8"/>
    </x:row>
    <x:row r="10" ht="21" customHeight="1">
      <x:c r="A10" s="8"/>
      <x:c r="B10" s="8"/>
      <x:c r="C10" s="8"/>
      <x:c r="D10" s="8"/>
      <x:c r="E10" s="8"/>
    </x:row>
    <x:row r="11" ht="28" customHeight="1">
      <x:c r="A11" s="12" t="str">
        <x:v>Test Case ID</x:v>
      </x:c>
      <x:c r="B11" s="12" t="str">
        <x:v>Test Condition</x:v>
      </x:c>
      <x:c r="C11" s="12" t="str">
        <x:v>Expected Result</x:v>
      </x:c>
      <x:c r="D11" s="14" t="str">
        <x:v>Actual / Status</x:v>
      </x:c>
      <x:c r="E11" s="12" t="str">
        <x:v>JUnit Method</x:v>
      </x:c>
    </x:row>
    <x:row r="12" ht="44" customHeight="1">
      <x:c r="A12" s="8" t="str">
        <x:v>CTRL-001</x:v>
      </x:c>
      <x:c r="B12" s="8" t="str">
        <x:v>Valid registration JSON</x:v>
      </x:c>
      <x:c r="C12" s="8" t="str">
        <x:v>201 Created; public user fields only; no password</x:v>
      </x:c>
      <x:c r="D12" s="15" t="str">
        <x:v>Pass</x:v>
      </x:c>
      <x:c r="E12" s="8" t="str">
        <x:v>register_validBody_returnsCreatedAndPublicUserFields</x:v>
      </x:c>
    </x:row>
    <x:row r="13" ht="44" customHeight="1">
      <x:c r="A13" s="8" t="str">
        <x:v>CTRL-002</x:v>
      </x:c>
      <x:c r="B13" s="8" t="str">
        <x:v>Request body omitted</x:v>
      </x:c>
      <x:c r="C13" s="8" t="str">
        <x:v>400 Bad Request; service not called</x:v>
      </x:c>
      <x:c r="D13" s="15" t="str">
        <x:v>Pass</x:v>
      </x:c>
      <x:c r="E13" s="8" t="str">
        <x:v>register_missingBody_returnsBadRequest</x:v>
      </x:c>
    </x:row>
    <x:row r="14" ht="44" customHeight="1">
      <x:c r="A14" s="8" t="str">
        <x:v>CTRL-003</x:v>
      </x:c>
      <x:c r="B14" s="8" t="str">
        <x:v>Malformed registration JSON</x:v>
      </x:c>
      <x:c r="C14" s="8" t="str">
        <x:v>400 Bad Request; service not called</x:v>
      </x:c>
      <x:c r="D14" s="15" t="str">
        <x:v>Pass</x:v>
      </x:c>
      <x:c r="E14" s="8" t="str">
        <x:v>register_malformedJson_returnsBadRequest</x:v>
      </x:c>
    </x:row>
    <x:row r="15" ht="44" customHeight="1">
      <x:c r="A15" s="8" t="str">
        <x:v>CTRL-004</x:v>
      </x:c>
      <x:c r="B15" s="8" t="str">
        <x:v>Valid login JSON</x:v>
      </x:c>
      <x:c r="C15" s="8" t="str">
        <x:v>200 OK; userId saved in session</x:v>
      </x:c>
      <x:c r="D15" s="15" t="str">
        <x:v>Pass</x:v>
      </x:c>
      <x:c r="E15" s="8" t="str">
        <x:v>login_validBody_returnsOkAndStoresUserIdInSession</x:v>
      </x:c>
    </x:row>
    <x:row r="16" ht="44" customHeight="1">
      <x:c r="A16" s="8" t="str">
        <x:v>CTRL-005</x:v>
      </x:c>
      <x:c r="B16" s="8" t="str">
        <x:v>Request body omitted</x:v>
      </x:c>
      <x:c r="C16" s="8" t="str">
        <x:v>400 Bad Request; service not called</x:v>
      </x:c>
      <x:c r="D16" s="15" t="str">
        <x:v>Pass</x:v>
      </x:c>
      <x:c r="E16" s="8" t="str">
        <x:v>login_missingBody_returnsBadRequest</x:v>
      </x:c>
    </x:row>
    <x:row r="17" ht="44" customHeight="1">
      <x:c r="A17" s="8" t="str">
        <x:v>CTRL-006</x:v>
      </x:c>
      <x:c r="B17" s="8" t="str">
        <x:v>Malformed login JSON</x:v>
      </x:c>
      <x:c r="C17" s="8" t="str">
        <x:v>400 Bad Request; service not called</x:v>
      </x:c>
      <x:c r="D17" s="15" t="str">
        <x:v>Pass</x:v>
      </x:c>
      <x:c r="E17" s="8" t="str">
        <x:v>login_malformedJson_returnsBadRequest</x:v>
      </x:c>
    </x:row>
    <x:row r="18" ht="44" customHeight="1">
      <x:c r="A18" s="8" t="str">
        <x:v>CTRL-007</x:v>
      </x:c>
      <x:c r="B18" s="8" t="str">
        <x:v>Get session after login</x:v>
      </x:c>
      <x:c r="C18" s="8" t="str">
        <x:v>200 OK; matching userId returned</x:v>
      </x:c>
      <x:c r="D18" s="15" t="str">
        <x:v>Pass</x:v>
      </x:c>
      <x:c r="E18" s="8" t="str">
        <x:v>sessionAuth_afterLogin_returnsStoredUserId</x:v>
      </x:c>
    </x:row>
    <x:row r="19" ht="44" customHeight="1">
      <x:c r="A19" s="8" t="str">
        <x:v>CTRL-008</x:v>
      </x:c>
      <x:c r="B19" s="8" t="str">
        <x:v>Get session before login</x:v>
      </x:c>
      <x:c r="C19" s="8" t="str">
        <x:v>200 OK; userId is null (current controller behavior)</x:v>
      </x:c>
      <x:c r="D19" s="15" t="str">
        <x:v>Pass</x:v>
      </x:c>
      <x:c r="E19" s="8" t="str">
        <x:v>sessionAuth_withoutLogin_returnsNullUserId</x:v>
      </x:c>
    </x:row>
    <x:row r="20" ht="44" customHeight="1">
      <x:c r="A20" s="8" t="str">
        <x:v>CTRL-009</x:v>
      </x:c>
      <x:c r="B20" s="8" t="str">
        <x:v>Logout with session</x:v>
      </x:c>
      <x:c r="C20" s="8" t="str">
        <x:v>204 No Content; session invalidated</x:v>
      </x:c>
      <x:c r="D20" s="15" t="str">
        <x:v>Pass</x:v>
      </x:c>
      <x:c r="E20" s="8" t="str">
        <x:v>logout_existingSession_returnsNoContentAndInvalidatesSession</x:v>
      </x:c>
    </x:row>
    <x:row r="21" ht="44" customHeight="1">
      <x:c r="A21" s="8" t="str">
        <x:v>CTRL-010</x:v>
      </x:c>
      <x:c r="B21" s="8" t="str">
        <x:v>Logout without login</x:v>
      </x:c>
      <x:c r="C21" s="8" t="str">
        <x:v>204 No Content</x:v>
      </x:c>
      <x:c r="D21" s="15" t="str">
        <x:v>Pass</x:v>
      </x:c>
      <x:c r="E21" s="8" t="str">
        <x:v>logout_withoutPreviousLogin_returnsNoContent</x:v>
      </x:c>
    </x:row>
    <x:row r="22" ht="21" customHeight="1">
      <x:c r="A22" s="8"/>
      <x:c r="B22" s="8"/>
      <x:c r="C22" s="8"/>
      <x:c r="D22" s="8"/>
      <x:c r="E22" s="8"/>
    </x:row>
    <x:row r="23" ht="21" customHeight="1">
      <x:c r="A23" s="8"/>
      <x:c r="B23" s="8"/>
      <x:c r="C23" s="8"/>
      <x:c r="D23" s="8"/>
      <x:c r="E23" s="8"/>
    </x:row>
    <x:row r="24" ht="21" customHeight="1">
      <x:c r="A24" s="8"/>
      <x:c r="B24" s="8"/>
      <x:c r="C24" s="8"/>
      <x:c r="D24" s="8"/>
      <x:c r="E24" s="8"/>
    </x:row>
    <x:row r="25" ht="21" customHeight="1">
      <x:c r="A25" s="8"/>
      <x:c r="B25" s="8"/>
      <x:c r="C25" s="8"/>
      <x:c r="D25" s="8"/>
      <x:c r="E25" s="8"/>
    </x:row>
    <x:row r="26" ht="21" customHeight="1">
      <x:c r="A26" s="8"/>
      <x:c r="B26" s="8"/>
      <x:c r="C26" s="8"/>
      <x:c r="D26" s="8"/>
      <x:c r="E26" s="8"/>
    </x:row>
    <x:row r="27" ht="21" customHeight="1">
      <x:c r="A27" s="8"/>
      <x:c r="B27" s="8"/>
      <x:c r="C27" s="8"/>
      <x:c r="D27" s="8"/>
      <x:c r="E27" s="8"/>
    </x:row>
    <x:row r="28" ht="21" customHeight="1">
      <x:c r="A28" s="8"/>
      <x:c r="B28" s="8"/>
      <x:c r="C28" s="8"/>
      <x:c r="D28" s="8"/>
      <x:c r="E28" s="8"/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56" hidden="0" customWidth="1"/>
    <x:col min="4" max="4" width="26" hidden="0" customWidth="1"/>
    <x:col min="5" max="5" width="70" hidden="0" customWidth="1"/>
  </x:cols>
  <x:sheetData>
    <x:row r="1" ht="32" customHeight="1">
      <x:c r="A1" s="10" t="str">
        <x:v>TS004 - Authentication and Spring Security</x:v>
      </x:c>
      <x:c r="B1" s="10"/>
      <x:c r="C1" s="10"/>
      <x:c r="D1" s="10"/>
      <x:c r="E1" s="10"/>
    </x:row>
    <x:row r="2" ht="21" customHeight="1">
      <x:c r="A2" s="8"/>
      <x:c r="B2" s="8"/>
      <x:c r="C2" s="8"/>
      <x:c r="D2" s="8"/>
      <x:c r="E2" s="8"/>
    </x:row>
    <x:row r="3" ht="21" customHeight="1">
      <x:c r="A3" s="8"/>
      <x:c r="B3" s="8"/>
      <x:c r="C3" s="8"/>
      <x:c r="D3" s="8"/>
      <x:c r="E3" s="8"/>
    </x:row>
    <x:row r="4" ht="23" customHeight="1">
      <x:c r="A4" s="12" t="str">
        <x:v>Scenario ID</x:v>
      </x:c>
      <x:c r="B4" s="8" t="str">
        <x:v>TS004</x:v>
      </x:c>
      <x:c r="C4" s="8"/>
      <x:c r="D4" s="8"/>
      <x:c r="E4" s="8"/>
    </x:row>
    <x:row r="5" ht="23" customHeight="1">
      <x:c r="A5" s="12" t="str">
        <x:v>Use Case ID</x:v>
      </x:c>
      <x:c r="B5" s="8" t="str">
        <x:v>UC-AUTH-04</x:v>
      </x:c>
      <x:c r="C5" s="8"/>
      <x:c r="D5" s="8"/>
      <x:c r="E5" s="8"/>
    </x:row>
    <x:row r="6" ht="23" customHeight="1">
      <x:c r="A6" s="12" t="str">
        <x:v>Test Scenario</x:v>
      </x:c>
      <x:c r="B6" s="8" t="str">
        <x:v>Authentication and Spring Security</x:v>
      </x:c>
      <x:c r="C6" s="8"/>
      <x:c r="D6" s="8"/>
      <x:c r="E6" s="8"/>
    </x:row>
    <x:row r="7" ht="23" customHeight="1">
      <x:c r="A7" s="12" t="str">
        <x:v>JUnit Test Class</x:v>
      </x:c>
      <x:c r="B7" s="8" t="str">
        <x:v>AuthSecurityWebMvcTest</x:v>
      </x:c>
      <x:c r="C7" s="8"/>
      <x:c r="D7" s="8"/>
      <x:c r="E7" s="8"/>
    </x:row>
    <x:row r="8" ht="23" customHeight="1">
      <x:c r="A8" s="12" t="str">
        <x:v>Result</x:v>
      </x:c>
      <x:c r="B8" s="8" t="str">
        <x:v>9/9 passed</x:v>
      </x:c>
      <x:c r="C8" s="8"/>
      <x:c r="D8" s="8"/>
      <x:c r="E8" s="8"/>
    </x:row>
    <x:row r="9" ht="23" customHeight="1">
      <x:c r="A9" s="12" t="str">
        <x:v>Test Date</x:v>
      </x:c>
      <x:c r="B9" s="8" t="str">
        <x:v>2026-09-30</x:v>
      </x:c>
      <x:c r="C9" s="8"/>
      <x:c r="D9" s="8"/>
      <x:c r="E9" s="8"/>
    </x:row>
    <x:row r="10" ht="21" customHeight="1">
      <x:c r="A10" s="8"/>
      <x:c r="B10" s="8"/>
      <x:c r="C10" s="8"/>
      <x:c r="D10" s="8"/>
      <x:c r="E10" s="8"/>
    </x:row>
    <x:row r="11" ht="28" customHeight="1">
      <x:c r="A11" s="12" t="str">
        <x:v>Test Case ID</x:v>
      </x:c>
      <x:c r="B11" s="12" t="str">
        <x:v>Test Condition</x:v>
      </x:c>
      <x:c r="C11" s="12" t="str">
        <x:v>Expected Result</x:v>
      </x:c>
      <x:c r="D11" s="14" t="str">
        <x:v>Actual / Status</x:v>
      </x:c>
      <x:c r="E11" s="12" t="str">
        <x:v>JUnit Method</x:v>
      </x:c>
    </x:row>
    <x:row r="12" ht="44" customHeight="1">
      <x:c r="A12" s="8" t="str">
        <x:v>SEC-001</x:v>
      </x:c>
      <x:c r="B12" s="8" t="str">
        <x:v>Register anonymously without CSRF</x:v>
      </x:c>
      <x:c r="C12" s="8" t="str">
        <x:v>201 Created; response omits password fields</x:v>
      </x:c>
      <x:c r="D12" s="15" t="str">
        <x:v>Pass</x:v>
      </x:c>
      <x:c r="E12" s="8" t="str">
        <x:v>anonymousRegistration_withoutCsrfToken_returns201</x:v>
      </x:c>
    </x:row>
    <x:row r="13" ht="44" customHeight="1">
      <x:c r="A13" s="8" t="str">
        <x:v>SEC-002</x:v>
      </x:c>
      <x:c r="B13" s="8" t="str">
        <x:v>Log in anonymously without CSRF</x:v>
      </x:c>
      <x:c r="C13" s="8" t="str">
        <x:v>200 OK; userId stored in session</x:v>
      </x:c>
      <x:c r="D13" s="15" t="str">
        <x:v>Pass</x:v>
      </x:c>
      <x:c r="E13" s="8" t="str">
        <x:v>anonymousLogin_withoutCsrfToken_returns200AndStoresSession</x:v>
      </x:c>
    </x:row>
    <x:row r="14" ht="44" customHeight="1">
      <x:c r="A14" s="8" t="str">
        <x:v>SEC-003</x:v>
      </x:c>
      <x:c r="B14" s="8" t="str">
        <x:v>Check session anonymously</x:v>
      </x:c>
      <x:c r="C14" s="8" t="str">
        <x:v>200 OK; userId is null</x:v>
      </x:c>
      <x:c r="D14" s="15" t="str">
        <x:v>Pass</x:v>
      </x:c>
      <x:c r="E14" s="8" t="str">
        <x:v>anonymousSessionCheck_isPermittedAndReturnsNull</x:v>
      </x:c>
    </x:row>
    <x:row r="15" ht="44" customHeight="1">
      <x:c r="A15" s="8" t="str">
        <x:v>SEC-004</x:v>
      </x:c>
      <x:c r="B15" s="8" t="str">
        <x:v>Log in then check session</x:v>
      </x:c>
      <x:c r="C15" s="8" t="str">
        <x:v>200 OK; the same userId is returned</x:v>
      </x:c>
      <x:c r="D15" s="15" t="str">
        <x:v>Pass</x:v>
      </x:c>
      <x:c r="E15" s="8" t="str">
        <x:v>loginThenSessionCheck_returnsSameUserId</x:v>
      </x:c>
    </x:row>
    <x:row r="16" ht="44" customHeight="1">
      <x:c r="A16" s="8" t="str">
        <x:v>SEC-005</x:v>
      </x:c>
      <x:c r="B16" s="8" t="str">
        <x:v>Logout without CSRF</x:v>
      </x:c>
      <x:c r="C16" s="8" t="str">
        <x:v>204 No Content; session invalidated</x:v>
      </x:c>
      <x:c r="D16" s="15" t="str">
        <x:v>Pass</x:v>
      </x:c>
      <x:c r="E16" s="8" t="str">
        <x:v>loggedInUser_canLogoutWithoutCsrfToken</x:v>
      </x:c>
    </x:row>
    <x:row r="17" ht="44" customHeight="1">
      <x:c r="A17" s="8" t="str">
        <x:v>SEC-006</x:v>
      </x:c>
      <x:c r="B17" s="8" t="str">
        <x:v>Malformed registration JSON</x:v>
      </x:c>
      <x:c r="C17" s="8" t="str">
        <x:v>400 Bad Request</x:v>
      </x:c>
      <x:c r="D17" s="15" t="str">
        <x:v>Pass</x:v>
      </x:c>
      <x:c r="E17" s="8" t="str">
        <x:v>anonymousRegistration_withMalformedJson_returns400</x:v>
      </x:c>
    </x:row>
    <x:row r="18" ht="44" customHeight="1">
      <x:c r="A18" s="8" t="str">
        <x:v>SEC-007</x:v>
      </x:c>
      <x:c r="B18" s="8" t="str">
        <x:v>Login without body</x:v>
      </x:c>
      <x:c r="C18" s="8" t="str">
        <x:v>400 Bad Request</x:v>
      </x:c>
      <x:c r="D18" s="15" t="str">
        <x:v>Pass</x:v>
      </x:c>
      <x:c r="E18" s="8" t="str">
        <x:v>anonymousLogin_withoutBody_returns400</x:v>
      </x:c>
    </x:row>
    <x:row r="19" ht="44" customHeight="1">
      <x:c r="A19" s="8" t="str">
        <x:v>SEC-008</x:v>
      </x:c>
      <x:c r="B19" s="8" t="str">
        <x:v>Anonymous logout without CSRF</x:v>
      </x:c>
      <x:c r="C19" s="8" t="str">
        <x:v>204 No Content</x:v>
      </x:c>
      <x:c r="D19" s="15" t="str">
        <x:v>Pass</x:v>
      </x:c>
      <x:c r="E19" s="8" t="str">
        <x:v>anonymousLogout_withoutCsrfToken_returns204</x:v>
      </x:c>
    </x:row>
    <x:row r="20" ht="44" customHeight="1">
      <x:c r="A20" s="8" t="str">
        <x:v>SEC-009</x:v>
      </x:c>
      <x:c r="B20" s="8" t="str">
        <x:v>Malformed login JSON</x:v>
      </x:c>
      <x:c r="C20" s="8" t="str">
        <x:v>400 Bad Request</x:v>
      </x:c>
      <x:c r="D20" s="15" t="str">
        <x:v>Pass</x:v>
      </x:c>
      <x:c r="E20" s="8" t="str">
        <x:v>anonymousLogin_withMalformedJson_returns400</x:v>
      </x:c>
    </x:row>
    <x:row r="21" ht="21" customHeight="1">
      <x:c r="A21" s="8"/>
      <x:c r="B21" s="8"/>
      <x:c r="C21" s="8"/>
      <x:c r="D21" s="8"/>
      <x:c r="E21" s="8"/>
    </x:row>
    <x:row r="22" ht="21" customHeight="1">
      <x:c r="A22" s="8"/>
      <x:c r="B22" s="8"/>
      <x:c r="C22" s="8"/>
      <x:c r="D22" s="8"/>
      <x:c r="E22" s="8"/>
    </x:row>
    <x:row r="23" ht="21" customHeight="1">
      <x:c r="A23" s="8"/>
      <x:c r="B23" s="8"/>
      <x:c r="C23" s="8"/>
      <x:c r="D23" s="8"/>
      <x:c r="E23" s="8"/>
    </x:row>
    <x:row r="24" ht="21" customHeight="1">
      <x:c r="A24" s="8"/>
      <x:c r="B24" s="8"/>
      <x:c r="C24" s="8"/>
      <x:c r="D24" s="8"/>
      <x:c r="E24" s="8"/>
    </x:row>
    <x:row r="25" ht="21" customHeight="1">
      <x:c r="A25" s="8"/>
      <x:c r="B25" s="8"/>
      <x:c r="C25" s="8"/>
      <x:c r="D25" s="8"/>
      <x:c r="E25" s="8"/>
    </x:row>
    <x:row r="26" ht="21" customHeight="1">
      <x:c r="A26" s="8"/>
      <x:c r="B26" s="8"/>
      <x:c r="C26" s="8"/>
      <x:c r="D26" s="8"/>
      <x:c r="E26" s="8"/>
    </x:row>
    <x:row r="27" ht="21" customHeight="1">
      <x:c r="A27" s="8"/>
      <x:c r="B27" s="8"/>
      <x:c r="C27" s="8"/>
      <x:c r="D27" s="8"/>
      <x:c r="E27" s="8"/>
    </x:row>
    <x:row r="28" ht="21" customHeight="1">
      <x:c r="A28" s="8"/>
      <x:c r="B28" s="8"/>
      <x:c r="C28" s="8"/>
      <x:c r="D28" s="8"/>
      <x:c r="E28" s="8"/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66" hidden="0" customWidth="1"/>
    <x:col min="3" max="3" width="17" hidden="0" customWidth="1"/>
    <x:col min="4" max="4" width="37" hidden="0" customWidth="1"/>
    <x:col min="5" max="5" width="45" hidden="0" customWidth="1"/>
    <x:col min="6" max="6" width="20" hidden="0" customWidth="1"/>
  </x:cols>
  <x:sheetData>
    <x:row r="1" ht="32" customHeight="1">
      <x:c r="A1" s="10" t="str">
        <x:v>Requirements Traceability</x:v>
      </x:c>
      <x:c r="B1" s="10"/>
      <x:c r="C1" s="10"/>
      <x:c r="D1" s="10"/>
      <x:c r="E1" s="10"/>
      <x:c r="F1" s="10"/>
    </x:row>
    <x:row r="2" ht="21" customHeight="1">
      <x:c r="A2" s="8"/>
      <x:c r="B2" s="8"/>
      <x:c r="C2" s="8"/>
      <x:c r="D2" s="8"/>
      <x:c r="E2" s="8"/>
      <x:c r="F2" s="8"/>
    </x:row>
    <x:row r="3" ht="21" customHeight="1">
      <x:c r="A3" s="8"/>
      <x:c r="B3" s="8"/>
      <x:c r="C3" s="8"/>
      <x:c r="D3" s="8"/>
      <x:c r="E3" s="8"/>
      <x:c r="F3" s="8"/>
    </x:row>
    <x:row r="4" ht="28" customHeight="1">
      <x:c r="A4" s="12" t="str">
        <x:v>Requirement ID</x:v>
      </x:c>
      <x:c r="B4" s="12" t="str">
        <x:v>Requirement</x:v>
      </x:c>
      <x:c r="C4" s="12" t="str">
        <x:v>Scenario ID</x:v>
      </x:c>
      <x:c r="D4" s="12" t="str">
        <x:v>Test Case ID</x:v>
      </x:c>
      <x:c r="E4" s="12" t="str">
        <x:v>Design Component</x:v>
      </x:c>
      <x:c r="F4" s="12" t="str">
        <x:v>Result</x:v>
      </x:c>
    </x:row>
    <x:row r="5" ht="38" customHeight="1">
      <x:c r="A5" s="8" t="str">
        <x:v>REQ-REG-01</x:v>
      </x:c>
      <x:c r="B5" s="8" t="str">
        <x:v>Registration requires request, email and password</x:v>
      </x:c>
      <x:c r="C5" s="8" t="str">
        <x:v>TS001</x:v>
      </x:c>
      <x:c r="D5" s="8" t="str">
        <x:v>REG-002 to REG-006; REG-012</x:v>
      </x:c>
      <x:c r="E5" s="8" t="str">
        <x:v>AuthService.register</x:v>
      </x:c>
      <x:c r="F5" s="8" t="str">
        <x:v>Passed - unit</x:v>
      </x:c>
    </x:row>
    <x:row r="6" ht="38" customHeight="1">
      <x:c r="A6" s="8" t="str">
        <x:v>REQ-REG-02</x:v>
      </x:c>
      <x:c r="B6" s="8" t="str">
        <x:v>Registration password must contain at least 8 characters</x:v>
      </x:c>
      <x:c r="C6" s="8" t="str">
        <x:v>TS001</x:v>
      </x:c>
      <x:c r="D6" s="8" t="str">
        <x:v>REG-007 to REG-008</x:v>
      </x:c>
      <x:c r="E6" s="8" t="str">
        <x:v>AuthService.register</x:v>
      </x:c>
      <x:c r="F6" s="8" t="str">
        <x:v>Passed - unit</x:v>
      </x:c>
    </x:row>
    <x:row r="7" ht="38" customHeight="1">
      <x:c r="A7" s="8" t="str">
        <x:v>REQ-REG-03</x:v>
      </x:c>
      <x:c r="B7" s="8" t="str">
        <x:v>Reject duplicate email during registration</x:v>
      </x:c>
      <x:c r="C7" s="8" t="str">
        <x:v>TS001</x:v>
      </x:c>
      <x:c r="D7" s="8" t="str">
        <x:v>REG-009</x:v>
      </x:c>
      <x:c r="E7" s="8" t="str">
        <x:v>AuthService.register / existsByEmail</x:v>
      </x:c>
      <x:c r="F7" s="8" t="str">
        <x:v>Passed - unit</x:v>
      </x:c>
    </x:row>
    <x:row r="8" ht="38" customHeight="1">
      <x:c r="A8" s="8" t="str">
        <x:v>REQ-REG-04</x:v>
      </x:c>
      <x:c r="B8" s="8" t="str">
        <x:v>Normalize registration email before lookup and save</x:v>
      </x:c>
      <x:c r="C8" s="8" t="str">
        <x:v>TS001</x:v>
      </x:c>
      <x:c r="D8" s="8" t="str">
        <x:v>REG-001, REG-010</x:v>
      </x:c>
      <x:c r="E8" s="8" t="str">
        <x:v>AuthService.register</x:v>
      </x:c>
      <x:c r="F8" s="8" t="str">
        <x:v>Passed - unit</x:v>
      </x:c>
    </x:row>
    <x:row r="9" ht="38" customHeight="1">
      <x:c r="A9" s="8" t="str">
        <x:v>REQ-REG-05</x:v>
      </x:c>
      <x:c r="B9" s="8" t="str">
        <x:v>Encode password, set ACTIVE and save user</x:v>
      </x:c>
      <x:c r="C9" s="8" t="str">
        <x:v>TS001</x:v>
      </x:c>
      <x:c r="D9" s="8" t="str">
        <x:v>REG-001, REG-011</x:v>
      </x:c>
      <x:c r="E9" s="8" t="str">
        <x:v>AuthService.register</x:v>
      </x:c>
      <x:c r="F9" s="8" t="str">
        <x:v>Passed - unit</x:v>
      </x:c>
    </x:row>
    <x:row r="10" ht="38" customHeight="1">
      <x:c r="A10" s="8" t="str">
        <x:v>REQ-LOGIN-01</x:v>
      </x:c>
      <x:c r="B10" s="8" t="str">
        <x:v>Reject missing login request, email or password</x:v>
      </x:c>
      <x:c r="C10" s="8" t="str">
        <x:v>TS002</x:v>
      </x:c>
      <x:c r="D10" s="8" t="str">
        <x:v>LOGIN-002 to LOGIN-006</x:v>
      </x:c>
      <x:c r="E10" s="8" t="str">
        <x:v>AuthService.login</x:v>
      </x:c>
      <x:c r="F10" s="8" t="str">
        <x:v>Passed - unit</x:v>
      </x:c>
    </x:row>
    <x:row r="11" ht="38" customHeight="1">
      <x:c r="A11" s="8" t="str">
        <x:v>REQ-LOGIN-02</x:v>
      </x:c>
      <x:c r="B11" s="8" t="str">
        <x:v>Reject unknown user and incorrect password</x:v>
      </x:c>
      <x:c r="C11" s="8" t="str">
        <x:v>TS002</x:v>
      </x:c>
      <x:c r="D11" s="8" t="str">
        <x:v>LOGIN-007, LOGIN-009</x:v>
      </x:c>
      <x:c r="E11" s="8" t="str">
        <x:v>AuthService.login</x:v>
      </x:c>
      <x:c r="F11" s="8" t="str">
        <x:v>Passed - unit</x:v>
      </x:c>
    </x:row>
    <x:row r="12" ht="38" customHeight="1">
      <x:c r="A12" s="8" t="str">
        <x:v>REQ-LOGIN-03</x:v>
      </x:c>
      <x:c r="B12" s="8" t="str">
        <x:v>Allow login for ACTIVE accounts only</x:v>
      </x:c>
      <x:c r="C12" s="8" t="str">
        <x:v>TS002</x:v>
      </x:c>
      <x:c r="D12" s="8" t="str">
        <x:v>LOGIN-008, LOGIN-011</x:v>
      </x:c>
      <x:c r="E12" s="8" t="str">
        <x:v>AuthService.login</x:v>
      </x:c>
      <x:c r="F12" s="8" t="str">
        <x:v>Passed - unit</x:v>
      </x:c>
    </x:row>
    <x:row r="13" ht="38" customHeight="1">
      <x:c r="A13" s="8" t="str">
        <x:v>REQ-LOGIN-04</x:v>
      </x:c>
      <x:c r="B13" s="8" t="str">
        <x:v>Normalize email before login lookup</x:v>
      </x:c>
      <x:c r="C13" s="8" t="str">
        <x:v>TS002</x:v>
      </x:c>
      <x:c r="D13" s="8" t="str">
        <x:v>LOGIN-001, LOGIN-010</x:v>
      </x:c>
      <x:c r="E13" s="8" t="str">
        <x:v>AuthService.login</x:v>
      </x:c>
      <x:c r="F13" s="8" t="str">
        <x:v>Passed - unit</x:v>
      </x:c>
    </x:row>
    <x:row r="14" ht="38" customHeight="1">
      <x:c r="A14" s="8" t="str">
        <x:v>REQ-CTRL-01</x:v>
      </x:c>
      <x:c r="B14" s="8" t="str">
        <x:v>Registration API HTTP and JSON response</x:v>
      </x:c>
      <x:c r="C14" s="8" t="str">
        <x:v>TS003</x:v>
      </x:c>
      <x:c r="D14" s="8" t="str">
        <x:v>CTRL-001 to CTRL-003</x:v>
      </x:c>
      <x:c r="E14" s="8" t="str">
        <x:v>AuthController.register</x:v>
      </x:c>
      <x:c r="F14" s="8" t="str">
        <x:v>Passed - MVC</x:v>
      </x:c>
    </x:row>
    <x:row r="15" ht="38" customHeight="1">
      <x:c r="A15" s="8" t="str">
        <x:v>REQ-CTRL-02</x:v>
      </x:c>
      <x:c r="B15" s="8" t="str">
        <x:v>Login API HTTP response and session creation</x:v>
      </x:c>
      <x:c r="C15" s="8" t="str">
        <x:v>TS003</x:v>
      </x:c>
      <x:c r="D15" s="8" t="str">
        <x:v>CTRL-004 to CTRL-006</x:v>
      </x:c>
      <x:c r="E15" s="8" t="str">
        <x:v>AuthController.login</x:v>
      </x:c>
      <x:c r="F15" s="8" t="str">
        <x:v>Passed - MVC</x:v>
      </x:c>
    </x:row>
    <x:row r="16" ht="38" customHeight="1">
      <x:c r="A16" s="8" t="str">
        <x:v>REQ-CTRL-03</x:v>
      </x:c>
      <x:c r="B16" s="8" t="str">
        <x:v>Return session information</x:v>
      </x:c>
      <x:c r="C16" s="8" t="str">
        <x:v>TS003</x:v>
      </x:c>
      <x:c r="D16" s="8" t="str">
        <x:v>CTRL-007 to CTRL-008</x:v>
      </x:c>
      <x:c r="E16" s="8" t="str">
        <x:v>AuthController.SessionAuth</x:v>
      </x:c>
      <x:c r="F16" s="8" t="str">
        <x:v>Passed - MVC</x:v>
      </x:c>
    </x:row>
    <x:row r="17" ht="38" customHeight="1">
      <x:c r="A17" s="8" t="str">
        <x:v>REQ-CTRL-04</x:v>
      </x:c>
      <x:c r="B17" s="8" t="str">
        <x:v>Logout and session invalidation</x:v>
      </x:c>
      <x:c r="C17" s="8" t="str">
        <x:v>TS003</x:v>
      </x:c>
      <x:c r="D17" s="8" t="str">
        <x:v>CTRL-009 to CTRL-010</x:v>
      </x:c>
      <x:c r="E17" s="8" t="str">
        <x:v>AuthController.logout</x:v>
      </x:c>
      <x:c r="F17" s="8" t="str">
        <x:v>Passed - MVC</x:v>
      </x:c>
    </x:row>
    <x:row r="18" ht="38" customHeight="1">
      <x:c r="A18" s="8" t="str">
        <x:v>REQ-SEC-01</x:v>
      </x:c>
      <x:c r="B18" s="8" t="str">
        <x:v>Anonymous authentication API access without CSRF token</x:v>
      </x:c>
      <x:c r="C18" s="8" t="str">
        <x:v>TS004</x:v>
      </x:c>
      <x:c r="D18" s="8" t="str">
        <x:v>SEC-001, SEC-002, SEC-005, SEC-008</x:v>
      </x:c>
      <x:c r="E18" s="8" t="str">
        <x:v>SecurityConfig / AuthController</x:v>
      </x:c>
      <x:c r="F18" s="8" t="str">
        <x:v>Passed - security</x:v>
      </x:c>
    </x:row>
    <x:row r="19" ht="38" customHeight="1">
      <x:c r="A19" s="8" t="str">
        <x:v>REQ-SEC-02</x:v>
      </x:c>
      <x:c r="B19" s="8" t="str">
        <x:v>Handle missing body and malformed JSON with security enabled</x:v>
      </x:c>
      <x:c r="C19" s="8" t="str">
        <x:v>TS004</x:v>
      </x:c>
      <x:c r="D19" s="8" t="str">
        <x:v>SEC-006, SEC-007, SEC-009</x:v>
      </x:c>
      <x:c r="E19" s="8" t="str">
        <x:v>SecurityConfig / AuthController</x:v>
      </x:c>
      <x:c r="F19" s="8" t="str">
        <x:v>Passed - security</x:v>
      </x:c>
    </x:row>
    <x:row r="20" ht="38" customHeight="1">
      <x:c r="A20" s="8" t="str">
        <x:v>REQ-SEC-03</x:v>
      </x:c>
      <x:c r="B20" s="8" t="str">
        <x:v>Retain expected session behavior with security enabled</x:v>
      </x:c>
      <x:c r="C20" s="8" t="str">
        <x:v>TS004</x:v>
      </x:c>
      <x:c r="D20" s="8" t="str">
        <x:v>SEC-003, SEC-004</x:v>
      </x:c>
      <x:c r="E20" s="8" t="str">
        <x:v>SecurityConfig / AuthController</x:v>
      </x:c>
      <x:c r="F20" s="8" t="str">
        <x:v>Passed - security</x:v>
      </x:c>
    </x:row>
    <x:row r="21" ht="21" customHeight="1">
      <x:c r="A21" s="8"/>
      <x:c r="B21" s="8"/>
      <x:c r="C21" s="8"/>
      <x:c r="D21" s="8"/>
      <x:c r="E21" s="8"/>
      <x:c r="F21" s="8"/>
    </x:row>
    <x:row r="22" ht="21" customHeight="1">
      <x:c r="A22" s="8" t="str">
        <x:v>Requirement and use-case IDs are internal identifiers for this test document.</x:v>
      </x:c>
      <x:c r="B22" s="8"/>
      <x:c r="C22" s="8"/>
      <x:c r="D22" s="8"/>
      <x:c r="E22" s="8"/>
      <x:c r="F22" s="8"/>
    </x:row>
    <x:row r="23" ht="21" customHeight="1">
      <x:c r="A23" s="8"/>
      <x:c r="B23" s="8"/>
      <x:c r="C23" s="8"/>
      <x:c r="D23" s="8"/>
      <x:c r="E23" s="8"/>
      <x:c r="F23" s="8"/>
    </x:row>
    <x:row r="24" ht="21" customHeight="1">
      <x:c r="A24" s="8"/>
      <x:c r="B24" s="8"/>
      <x:c r="C24" s="8"/>
      <x:c r="D24" s="8"/>
      <x:c r="E24" s="8"/>
      <x:c r="F24" s="8"/>
    </x:row>
    <x:row r="25" ht="21" customHeight="1">
      <x:c r="A25" s="8"/>
      <x:c r="B25" s="8"/>
      <x:c r="C25" s="8"/>
      <x:c r="D25" s="8"/>
      <x:c r="E25" s="8"/>
      <x:c r="F25" s="8"/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7" hidden="0" customWidth="1"/>
    <x:col min="2" max="2" width="20" hidden="0" customWidth="1"/>
    <x:col min="3" max="3" width="17" hidden="0" customWidth="1"/>
    <x:col min="4" max="4" width="18" hidden="0" customWidth="1"/>
    <x:col min="5" max="5" width="17" hidden="0" customWidth="1"/>
    <x:col min="6" max="6" width="18" hidden="0" customWidth="1"/>
  </x:cols>
  <x:sheetData>
    <x:row r="1" ht="32" customHeight="1">
      <x:c r="A1" s="10" t="str">
        <x:v>CPFriendFinder - Test Summary Report</x:v>
      </x:c>
      <x:c r="B1" s="10"/>
      <x:c r="C1" s="10"/>
      <x:c r="D1" s="10"/>
      <x:c r="E1" s="10"/>
      <x:c r="F1" s="10"/>
    </x:row>
    <x:row r="2" ht="21" customHeight="1">
      <x:c r="A2" s="8" t="str">
        <x:v>Scope: Authentication  |  Last completed: 2026-09-30 17:09:30</x:v>
      </x:c>
      <x:c r="B2" s="8"/>
      <x:c r="C2" s="8"/>
      <x:c r="D2" s="8"/>
      <x:c r="E2" s="8"/>
      <x:c r="F2" s="8"/>
    </x:row>
    <x:row r="3" ht="21" customHeight="1">
      <x:c r="A3" s="8"/>
      <x:c r="B3" s="8"/>
      <x:c r="C3" s="8"/>
      <x:c r="D3" s="8"/>
      <x:c r="E3" s="8"/>
      <x:c r="F3" s="8"/>
    </x:row>
    <x:row r="4" ht="27" customHeight="1">
      <x:c r="A4" s="12" t="str">
        <x:v>Documented Test Cases</x:v>
      </x:c>
      <x:c r="B4" s="14" t="str">
        <x:v>Count</x:v>
      </x:c>
      <x:c r="C4" s="8"/>
      <x:c r="D4" s="8"/>
      <x:c r="E4" s="8"/>
      <x:c r="F4" s="8"/>
    </x:row>
    <x:row r="5" ht="21" customHeight="1">
      <x:c r="A5" s="8" t="str">
        <x:v>Designed</x:v>
      </x:c>
      <x:c r="B5" s="15" t="n">
        <x:f>COUNTA('Test Case Design &amp; Test Results'!$C$5:$C$46)</x:f>
        <x:v>42</x:v>
      </x:c>
      <x:c r="C5" s="8"/>
      <x:c r="D5" s="8"/>
      <x:c r="E5" s="8"/>
      <x:c r="F5" s="8"/>
    </x:row>
    <x:row r="6" ht="21" customHeight="1">
      <x:c r="A6" s="8" t="str">
        <x:v>Executed</x:v>
      </x:c>
      <x:c r="B6" s="15" t="n">
        <x:f>COUNTIF('Test Case Design &amp; Test Results'!$J$5:$J$46,"Pass")+COUNTIF('Test Case Design &amp; Test Results'!$J$5:$J$46,"Fail")</x:f>
        <x:v>42</x:v>
      </x:c>
      <x:c r="C6" s="8"/>
      <x:c r="D6" s="8"/>
      <x:c r="E6" s="8"/>
      <x:c r="F6" s="8"/>
    </x:row>
    <x:row r="7" ht="21" customHeight="1">
      <x:c r="A7" s="8" t="str">
        <x:v>Passed</x:v>
      </x:c>
      <x:c r="B7" s="15" t="n">
        <x:f>COUNTIF('Test Case Design &amp; Test Results'!$J$5:$J$46,"Pass")</x:f>
        <x:v>42</x:v>
      </x:c>
      <x:c r="C7" s="8"/>
      <x:c r="D7" s="8"/>
      <x:c r="E7" s="8"/>
      <x:c r="F7" s="8"/>
    </x:row>
    <x:row r="8" ht="21" customHeight="1">
      <x:c r="A8" s="8" t="str">
        <x:v>Failed</x:v>
      </x:c>
      <x:c r="B8" s="15" t="n">
        <x:f>COUNTIF('Test Case Design &amp; Test Results'!$J$5:$J$46,"Fail")</x:f>
        <x:v>0</x:v>
      </x:c>
      <x:c r="C8" s="8"/>
      <x:c r="D8" s="8"/>
      <x:c r="E8" s="8"/>
      <x:c r="F8" s="8"/>
    </x:row>
    <x:row r="9" ht="21" customHeight="1">
      <x:c r="A9" s="8" t="str">
        <x:v>Blocked</x:v>
      </x:c>
      <x:c r="B9" s="15" t="n">
        <x:f>COUNTIF('Test Case Design &amp; Test Results'!$J$5:$J$46,"Block")</x:f>
        <x:v>0</x:v>
      </x:c>
      <x:c r="C9" s="8"/>
      <x:c r="D9" s="8"/>
      <x:c r="E9" s="8"/>
      <x:c r="F9" s="8"/>
    </x:row>
    <x:row r="10" ht="21" customHeight="1">
      <x:c r="A10" s="8" t="str">
        <x:v>Not Run</x:v>
      </x:c>
      <x:c r="B10" s="15" t="n">
        <x:f>COUNTIF('Test Case Design &amp; Test Results'!$J$5:$J$46,"No run")</x:f>
        <x:v>0</x:v>
      </x:c>
      <x:c r="C10" s="8"/>
      <x:c r="D10" s="8"/>
      <x:c r="E10" s="8"/>
      <x:c r="F10" s="8"/>
    </x:row>
    <x:row r="11" ht="21" customHeight="1">
      <x:c r="A11" s="8"/>
      <x:c r="B11" s="8"/>
      <x:c r="C11" s="8"/>
      <x:c r="D11" s="8"/>
      <x:c r="E11" s="8"/>
      <x:c r="F11" s="8"/>
    </x:row>
    <x:row r="12" ht="27" customHeight="1">
      <x:c r="A12" s="12" t="str">
        <x:v>Maven Full-Suite Results</x:v>
      </x:c>
      <x:c r="B12" s="12"/>
      <x:c r="C12" s="12"/>
      <x:c r="D12" s="12"/>
      <x:c r="E12" s="12"/>
      <x:c r="F12" s="12"/>
    </x:row>
    <x:row r="13" ht="27" customHeight="1">
      <x:c r="A13" s="12" t="str">
        <x:v>Test Class</x:v>
      </x:c>
      <x:c r="B13" s="14" t="str">
        <x:v>Tests</x:v>
      </x:c>
      <x:c r="C13" s="14" t="str">
        <x:v>Passed</x:v>
      </x:c>
      <x:c r="D13" s="14" t="str">
        <x:v>Failed</x:v>
      </x:c>
      <x:c r="E13" s="14" t="str">
        <x:v>Errors</x:v>
      </x:c>
      <x:c r="F13" s="14" t="str">
        <x:v>Skipped</x:v>
      </x:c>
    </x:row>
    <x:row r="14" ht="21" customHeight="1">
      <x:c r="A14" s="8" t="str">
        <x:v>FriendApplicationTests</x:v>
      </x:c>
      <x:c r="B14" s="15" t="n">
        <x:v>1</x:v>
      </x:c>
      <x:c r="C14" s="15" t="n">
        <x:v>1</x:v>
      </x:c>
      <x:c r="D14" s="15" t="n">
        <x:v>0</x:v>
      </x:c>
      <x:c r="E14" s="15" t="n">
        <x:v>0</x:v>
      </x:c>
      <x:c r="F14" s="15" t="n">
        <x:v>0</x:v>
      </x:c>
    </x:row>
    <x:row r="15" ht="21" customHeight="1">
      <x:c r="A15" s="8" t="str">
        <x:v>AuthServiceRegisterTest</x:v>
      </x:c>
      <x:c r="B15" s="15" t="n">
        <x:v>12</x:v>
      </x:c>
      <x:c r="C15" s="15" t="n">
        <x:v>12</x:v>
      </x:c>
      <x:c r="D15" s="15" t="n">
        <x:v>0</x:v>
      </x:c>
      <x:c r="E15" s="15" t="n">
        <x:v>0</x:v>
      </x:c>
      <x:c r="F15" s="15" t="n">
        <x:v>0</x:v>
      </x:c>
    </x:row>
    <x:row r="16" ht="21" customHeight="1">
      <x:c r="A16" s="8" t="str">
        <x:v>AuthServiceLoginTest</x:v>
      </x:c>
      <x:c r="B16" s="15" t="n">
        <x:v>11</x:v>
      </x:c>
      <x:c r="C16" s="15" t="n">
        <x:v>11</x:v>
      </x:c>
      <x:c r="D16" s="15" t="n">
        <x:v>0</x:v>
      </x:c>
      <x:c r="E16" s="15" t="n">
        <x:v>0</x:v>
      </x:c>
      <x:c r="F16" s="15" t="n">
        <x:v>0</x:v>
      </x:c>
    </x:row>
    <x:row r="17" ht="21" customHeight="1">
      <x:c r="A17" s="8" t="str">
        <x:v>AuthControllerMvcTest</x:v>
      </x:c>
      <x:c r="B17" s="15" t="n">
        <x:v>10</x:v>
      </x:c>
      <x:c r="C17" s="15" t="n">
        <x:v>10</x:v>
      </x:c>
      <x:c r="D17" s="15" t="n">
        <x:v>0</x:v>
      </x:c>
      <x:c r="E17" s="15" t="n">
        <x:v>0</x:v>
      </x:c>
      <x:c r="F17" s="15" t="n">
        <x:v>0</x:v>
      </x:c>
    </x:row>
    <x:row r="18" ht="21" customHeight="1">
      <x:c r="A18" s="8" t="str">
        <x:v>AuthSecurityWebMvcTest</x:v>
      </x:c>
      <x:c r="B18" s="15" t="n">
        <x:v>9</x:v>
      </x:c>
      <x:c r="C18" s="15" t="n">
        <x:v>9</x:v>
      </x:c>
      <x:c r="D18" s="15" t="n">
        <x:v>0</x:v>
      </x:c>
      <x:c r="E18" s="15" t="n">
        <x:v>0</x:v>
      </x:c>
      <x:c r="F18" s="15" t="n">
        <x:v>0</x:v>
      </x:c>
    </x:row>
    <x:row r="19" ht="27" customHeight="1">
      <x:c r="A19" s="12" t="str">
        <x:v>Total</x:v>
      </x:c>
      <x:c r="B19" s="14" t="n">
        <x:f>SUM(B14:B18)</x:f>
        <x:v>43</x:v>
      </x:c>
      <x:c r="C19" s="14" t="n">
        <x:f>SUM(C14:C18)</x:f>
        <x:v>43</x:v>
      </x:c>
      <x:c r="D19" s="14" t="n">
        <x:f>SUM(D14:D18)</x:f>
        <x:v>0</x:v>
      </x:c>
      <x:c r="E19" s="14" t="n">
        <x:f>SUM(E14:E18)</x:f>
        <x:v>0</x:v>
      </x:c>
      <x:c r="F19" s="14" t="n">
        <x:f>SUM(F14:F18)</x:f>
        <x:v>0</x:v>
      </x:c>
    </x:row>
    <x:row r="20" ht="21" customHeight="1">
      <x:c r="A20" s="8"/>
      <x:c r="B20" s="8"/>
      <x:c r="C20" s="8"/>
      <x:c r="D20" s="8"/>
      <x:c r="E20" s="8"/>
      <x:c r="F20" s="8"/>
    </x:row>
    <x:row r="21" ht="24" customHeight="1">
      <x:c r="A21" s="8" t="str">
        <x:v>Build Result</x:v>
      </x:c>
      <x:c r="B21" s="8" t="str">
        <x:v>BUILD SUCCESS</x:v>
      </x:c>
      <x:c r="C21" s="8"/>
      <x:c r="D21" s="8"/>
      <x:c r="E21" s="8"/>
      <x:c r="F21" s="8"/>
    </x:row>
    <x:row r="22" ht="24" customHeight="1">
      <x:c r="A22" s="8" t="str">
        <x:v>Elapsed Time</x:v>
      </x:c>
      <x:c r="B22" s="8" t="str">
        <x:v>41.638 seconds</x:v>
      </x:c>
      <x:c r="C22" s="8"/>
      <x:c r="D22" s="8"/>
      <x:c r="E22" s="8"/>
      <x:c r="F22" s="8"/>
    </x:row>
    <x:row r="23" ht="24" customHeight="1">
      <x:c r="A23" s="8" t="str">
        <x:v>Maven Command</x:v>
      </x:c>
      <x:c r="B23" s="8" t="str">
        <x:v>./mvnw -Djava.version=21 clean test</x:v>
      </x:c>
      <x:c r="C23" s="8"/>
      <x:c r="D23" s="8"/>
      <x:c r="E23" s="8"/>
      <x:c r="F23" s="8"/>
    </x:row>
    <x:row r="24" ht="24" customHeight="1">
      <x:c r="A24" s="8" t="str">
        <x:v>Documented Cases</x:v>
      </x:c>
      <x:c r="B24" s="8" t="str">
        <x:v>Registration 12 + Login 11 + Controller 10 + Security 9 = 42</x:v>
      </x:c>
      <x:c r="C24" s="8"/>
      <x:c r="D24" s="8"/>
      <x:c r="E24" s="8"/>
      <x:c r="F24" s="8"/>
    </x:row>
    <x:row r="25" ht="24" customHeight="1">
      <x:c r="A25" s="8" t="str">
        <x:v>Additional Context Test</x:v>
      </x:c>
      <x:c r="B25" s="8" t="str">
        <x:v>FriendApplicationTests = 1; total Maven tests = 43</x:v>
      </x:c>
      <x:c r="C25" s="8"/>
      <x:c r="D25" s="8"/>
      <x:c r="E25" s="8"/>
      <x:c r="F25" s="8"/>
    </x:row>
    <x:row r="26" ht="21" customHeight="1">
      <x:c r="A26" s="8"/>
      <x:c r="B26" s="8"/>
      <x:c r="C26" s="8"/>
      <x:c r="D26" s="8"/>
      <x:c r="E26" s="8"/>
      <x:c r="F26" s="8"/>
    </x:row>
    <x:row r="27" ht="27" customHeight="1">
      <x:c r="A27" s="12" t="str">
        <x:v>Test Run History</x:v>
      </x:c>
      <x:c r="B27" s="12"/>
      <x:c r="C27" s="12"/>
      <x:c r="D27" s="12"/>
      <x:c r="E27" s="12"/>
      <x:c r="F27" s="12"/>
    </x:row>
    <x:row r="28" ht="27" customHeight="1">
      <x:c r="A28" s="12" t="str">
        <x:v>Finished At</x:v>
      </x:c>
      <x:c r="B28" s="14" t="str">
        <x:v>Tests</x:v>
      </x:c>
      <x:c r="C28" s="14" t="str">
        <x:v>Passed</x:v>
      </x:c>
      <x:c r="D28" s="14" t="str">
        <x:v>Failed</x:v>
      </x:c>
      <x:c r="E28" s="14" t="str">
        <x:v>Errors</x:v>
      </x:c>
      <x:c r="F28" s="14" t="str">
        <x:v>Skipped</x:v>
      </x:c>
    </x:row>
    <x:row r="29" ht="21" customHeight="1">
      <x:c r="A29" s="8" t="str">
        <x:v>2026-09-30 15:00:47</x:v>
      </x:c>
      <x:c r="B29" s="15" t="n">
        <x:v>24</x:v>
      </x:c>
      <x:c r="C29" s="15" t="n">
        <x:v>24</x:v>
      </x:c>
      <x:c r="D29" s="15" t="n">
        <x:v>0</x:v>
      </x:c>
      <x:c r="E29" s="15" t="n">
        <x:v>0</x:v>
      </x:c>
      <x:c r="F29" s="15" t="n">
        <x:v>0</x:v>
      </x:c>
    </x:row>
    <x:row r="30" ht="21" customHeight="1">
      <x:c r="A30" s="8" t="str">
        <x:v>2026-09-30 16:23:47</x:v>
      </x:c>
      <x:c r="B30" s="15" t="n">
        <x:v>34</x:v>
      </x:c>
      <x:c r="C30" s="15" t="n">
        <x:v>34</x:v>
      </x:c>
      <x:c r="D30" s="15" t="n">
        <x:v>0</x:v>
      </x:c>
      <x:c r="E30" s="15" t="n">
        <x:v>0</x:v>
      </x:c>
      <x:c r="F30" s="15" t="n">
        <x:v>0</x:v>
      </x:c>
    </x:row>
    <x:row r="31" ht="21" customHeight="1">
      <x:c r="A31" s="8" t="str">
        <x:v>2026-09-30 17:09:30</x:v>
      </x:c>
      <x:c r="B31" s="15" t="n">
        <x:v>43</x:v>
      </x:c>
      <x:c r="C31" s="15" t="n">
        <x:v>43</x:v>
      </x:c>
      <x:c r="D31" s="15" t="n">
        <x:v>0</x:v>
      </x:c>
      <x:c r="E31" s="15" t="n">
        <x:v>0</x:v>
      </x:c>
      <x:c r="F31" s="15" t="n">
        <x:v>0</x:v>
      </x:c>
    </x:row>
    <x:row r="32" ht="21" customHeight="1">
      <x:c r="A32" s="8"/>
      <x:c r="B32" s="8"/>
      <x:c r="C32" s="8"/>
      <x:c r="D32" s="8"/>
      <x:c r="E32" s="8"/>
      <x:c r="F32" s="8"/>
    </x:row>
    <x:row r="33" ht="21" customHeight="1">
      <x:c r="A33" s="8"/>
      <x:c r="B33" s="8"/>
      <x:c r="C33" s="8"/>
      <x:c r="D33" s="8"/>
      <x:c r="E33" s="8"/>
      <x:c r="F33" s="8"/>
    </x:row>
    <x:row r="34" ht="21" customHeight="1">
      <x:c r="A34" s="8"/>
      <x:c r="B34" s="8"/>
      <x:c r="C34" s="8"/>
      <x:c r="D34" s="8"/>
      <x:c r="E34" s="8"/>
      <x:c r="F34" s="8"/>
    </x:row>
    <x:row r="35" ht="21" customHeight="1">
      <x:c r="A35" s="8"/>
      <x:c r="B35" s="8"/>
      <x:c r="C35" s="8"/>
      <x:c r="D35" s="8"/>
      <x:c r="E35" s="8"/>
      <x:c r="F35" s="8"/>
    </x:row>
    <x:row r="36" ht="21" customHeight="1">
      <x:c r="A36" s="8"/>
      <x:c r="B36" s="8"/>
      <x:c r="C36" s="8"/>
      <x:c r="D36" s="8"/>
      <x:c r="E36" s="8"/>
      <x:c r="F36" s="8"/>
    </x:row>
  </x:sheetData>
  <x:mergeCells>
    <x:mergeCell ref="A1:F1"/>
    <x:mergeCell ref="A2:F2"/>
    <x:mergeCell ref="B21:F21"/>
    <x:mergeCell ref="B22:F22"/>
    <x:mergeCell ref="B23:F23"/>
    <x:mergeCell ref="B24:F24"/>
    <x:mergeCell ref="B25:F2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7" hidden="0" customWidth="1"/>
    <x:col min="3" max="3" width="57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22" hidden="0" customWidth="1"/>
  </x:cols>
  <x:sheetData>
    <x:row r="1" ht="32" customHeight="1">
      <x:c r="A1" s="10" t="str">
        <x:v>Test Execution Log</x:v>
      </x:c>
      <x:c r="B1" s="10"/>
      <x:c r="C1" s="10"/>
      <x:c r="D1" s="10"/>
      <x:c r="E1" s="10"/>
      <x:c r="F1" s="10"/>
      <x:c r="G1" s="10"/>
      <x:c r="H1" s="10"/>
    </x:row>
    <x:row r="2" ht="21" customHeight="1">
      <x:c r="A2" s="8"/>
      <x:c r="B2" s="8"/>
      <x:c r="C2" s="8"/>
      <x:c r="D2" s="8"/>
      <x:c r="E2" s="8"/>
      <x:c r="F2" s="8"/>
      <x:c r="G2" s="8"/>
      <x:c r="H2" s="8"/>
    </x:row>
    <x:row r="3" ht="21" customHeight="1">
      <x:c r="A3" s="8"/>
      <x:c r="B3" s="8"/>
      <x:c r="C3" s="8"/>
      <x:c r="D3" s="8"/>
      <x:c r="E3" s="8"/>
      <x:c r="F3" s="8"/>
      <x:c r="G3" s="8"/>
      <x:c r="H3" s="8"/>
    </x:row>
    <x:row r="4" ht="28" customHeight="1">
      <x:c r="A4" s="12" t="str">
        <x:v>Run ID</x:v>
      </x:c>
      <x:c r="B4" s="12" t="str">
        <x:v>Finished At</x:v>
      </x:c>
      <x:c r="C4" s="12" t="str">
        <x:v>Test Scope</x:v>
      </x:c>
      <x:c r="D4" s="14" t="str">
        <x:v>Tests</x:v>
      </x:c>
      <x:c r="E4" s="14" t="str">
        <x:v>Passed</x:v>
      </x:c>
      <x:c r="F4" s="14" t="str">
        <x:v>Failed</x:v>
      </x:c>
      <x:c r="G4" s="14" t="str">
        <x:v>Errors / Skips</x:v>
      </x:c>
      <x:c r="H4" s="12" t="str">
        <x:v>Result</x:v>
      </x:c>
    </x:row>
    <x:row r="5" ht="29" customHeight="1">
      <x:c r="A5" s="8" t="str">
        <x:v>BASE-01</x:v>
      </x:c>
      <x:c r="B5" s="8" t="str">
        <x:v>2026-09-30 13:06</x:v>
      </x:c>
      <x:c r="C5" s="8" t="str">
        <x:v>Spring Application Context</x:v>
      </x:c>
      <x:c r="D5" s="15" t="n">
        <x:v>1</x:v>
      </x:c>
      <x:c r="E5" s="15" t="n">
        <x:v>1</x:v>
      </x:c>
      <x:c r="F5" s="15" t="n">
        <x:v>0</x:v>
      </x:c>
      <x:c r="G5" s="15" t="str">
        <x:v>0 / 0</x:v>
      </x:c>
      <x:c r="H5" s="8" t="str">
        <x:v>BUILD SUCCESS</x:v>
      </x:c>
    </x:row>
    <x:row r="6" ht="29" customHeight="1">
      <x:c r="A6" s="8" t="str">
        <x:v>AUTH-01</x:v>
      </x:c>
      <x:c r="B6" s="8" t="str">
        <x:v>2026-09-30 15:00:47</x:v>
      </x:c>
      <x:c r="C6" s="8" t="str">
        <x:v>Service 23 + Context 1</x:v>
      </x:c>
      <x:c r="D6" s="15" t="n">
        <x:v>24</x:v>
      </x:c>
      <x:c r="E6" s="15" t="n">
        <x:v>24</x:v>
      </x:c>
      <x:c r="F6" s="15" t="n">
        <x:v>0</x:v>
      </x:c>
      <x:c r="G6" s="15" t="str">
        <x:v>0 / 0</x:v>
      </x:c>
      <x:c r="H6" s="8" t="str">
        <x:v>BUILD SUCCESS</x:v>
      </x:c>
    </x:row>
    <x:row r="7" ht="29" customHeight="1">
      <x:c r="A7" s="8" t="str">
        <x:v>AUTH-02</x:v>
      </x:c>
      <x:c r="B7" s="8" t="str">
        <x:v>2026-09-30 16:23:47</x:v>
      </x:c>
      <x:c r="C7" s="8" t="str">
        <x:v>Service 23 + Controller 10 + Context 1</x:v>
      </x:c>
      <x:c r="D7" s="15" t="n">
        <x:v>34</x:v>
      </x:c>
      <x:c r="E7" s="15" t="n">
        <x:v>34</x:v>
      </x:c>
      <x:c r="F7" s="15" t="n">
        <x:v>0</x:v>
      </x:c>
      <x:c r="G7" s="15" t="str">
        <x:v>0 / 0</x:v>
      </x:c>
      <x:c r="H7" s="8" t="str">
        <x:v>BUILD SUCCESS</x:v>
      </x:c>
    </x:row>
    <x:row r="8" ht="29" customHeight="1">
      <x:c r="A8" s="8" t="str">
        <x:v>AUTH-03</x:v>
      </x:c>
      <x:c r="B8" s="8" t="str">
        <x:v>2026-09-30 17:09:30</x:v>
      </x:c>
      <x:c r="C8" s="8" t="str">
        <x:v>Service 23 + Controller 10 + Security 9 + Context 1</x:v>
      </x:c>
      <x:c r="D8" s="15" t="n">
        <x:v>43</x:v>
      </x:c>
      <x:c r="E8" s="15" t="n">
        <x:v>43</x:v>
      </x:c>
      <x:c r="F8" s="15" t="n">
        <x:v>0</x:v>
      </x:c>
      <x:c r="G8" s="15" t="str">
        <x:v>0 / 0</x:v>
      </x:c>
      <x:c r="H8" s="8" t="str">
        <x:v>BUILD SUCCESS</x:v>
      </x:c>
    </x:row>
    <x:row r="9" ht="21" customHeight="1">
      <x:c r="A9" s="8"/>
      <x:c r="B9" s="8"/>
      <x:c r="C9" s="8"/>
      <x:c r="D9" s="8"/>
      <x:c r="E9" s="8"/>
      <x:c r="F9" s="8"/>
      <x:c r="G9" s="8"/>
      <x:c r="H9" s="8"/>
    </x:row>
    <x:row r="10" ht="21" customHeight="1">
      <x:c r="A10" s="12" t="str">
        <x:v>Command</x:v>
      </x:c>
      <x:c r="B10" s="8" t="str">
        <x:v>./mvnw -Djava.version=21 clean test</x:v>
      </x:c>
      <x:c r="C10" s="8"/>
      <x:c r="D10" s="8"/>
      <x:c r="E10" s="8"/>
      <x:c r="F10" s="8"/>
      <x:c r="G10" s="8"/>
      <x:c r="H10" s="8"/>
    </x:row>
    <x:row r="11" ht="21" customHeight="1">
      <x:c r="A11" s="12" t="str">
        <x:v>Local evidence</x:v>
      </x:c>
      <x:c r="B11" s="8" t="str">
        <x:v>target/surefire-reports/</x:v>
      </x:c>
      <x:c r="C11" s="8"/>
      <x:c r="D11" s="8"/>
      <x:c r="E11" s="8"/>
      <x:c r="F11" s="8"/>
      <x:c r="G11" s="8"/>
      <x:c r="H11" s="8"/>
    </x:row>
    <x:row r="12" ht="21" customHeight="1">
      <x:c r="A12" s="8"/>
      <x:c r="B12" s="8"/>
      <x:c r="C12" s="8"/>
      <x:c r="D12" s="8"/>
      <x:c r="E12" s="8"/>
      <x:c r="F12" s="8"/>
      <x:c r="G12" s="8"/>
      <x:c r="H12" s="8"/>
    </x:row>
    <x:row r="13" ht="21" customHeight="1">
      <x:c r="A13" s="8"/>
      <x:c r="B13" s="8"/>
      <x:c r="C13" s="8"/>
      <x:c r="D13" s="8"/>
      <x:c r="E13" s="8"/>
      <x:c r="F13" s="8"/>
      <x:c r="G13" s="8"/>
      <x:c r="H13" s="8"/>
    </x:row>
  </x:sheetData>
  <x:mergeCells>
    <x:mergeCell ref="A1:H1"/>
  </x:mergeCells>
  <x:pageMargins left="0.7" right="0.7" top="0.75" bottom="0.75" header="0.3" footer="0.3"/>
</x:worksheet>
</file>