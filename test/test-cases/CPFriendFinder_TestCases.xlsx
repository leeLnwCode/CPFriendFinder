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47ec54ffa24b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9477e82619e2452b"/>
    <x:sheet xmlns:r="http://schemas.openxmlformats.org/officeDocument/2006/relationships" name="Requirements" sheetId="2" r:id="R03c8530c28984468"/>
    <x:sheet xmlns:r="http://schemas.openxmlformats.org/officeDocument/2006/relationships" name="Test Case Design &amp; Test Results" sheetId="3" r:id="Ra2814b4e33444dca"/>
    <x:sheet xmlns:r="http://schemas.openxmlformats.org/officeDocument/2006/relationships" name="TS001" sheetId="4" r:id="R37f5eb6329ce4a1b"/>
    <x:sheet xmlns:r="http://schemas.openxmlformats.org/officeDocument/2006/relationships" name="TS002" sheetId="5" r:id="R0ea921762e59475e"/>
    <x:sheet xmlns:r="http://schemas.openxmlformats.org/officeDocument/2006/relationships" name="TS003" sheetId="6" r:id="R09b7223c5d884519"/>
    <x:sheet xmlns:r="http://schemas.openxmlformats.org/officeDocument/2006/relationships" name="TS004" sheetId="7" r:id="Re30e6d6384f242f8"/>
    <x:sheet xmlns:r="http://schemas.openxmlformats.org/officeDocument/2006/relationships" name="TS005" sheetId="8" r:id="R7530fe118b7a426a"/>
    <x:sheet xmlns:r="http://schemas.openxmlformats.org/officeDocument/2006/relationships" name="TS006" sheetId="9" r:id="Raf70c989dd2240b4"/>
    <x:sheet xmlns:r="http://schemas.openxmlformats.org/officeDocument/2006/relationships" name="Defect Summary" sheetId="10" r:id="R924a22ed9d1f4084"/>
    <x:sheet xmlns:r="http://schemas.openxmlformats.org/officeDocument/2006/relationships" name="Test Summary Report" sheetId="11" r:id="R243745f21771443d"/>
    <x:sheet xmlns:r="http://schemas.openxmlformats.org/officeDocument/2006/relationships" name="Execution Log" sheetId="12" r:id="R687d72e7c1194c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2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1d02b463fe4c54" /><Relationship Type="http://schemas.openxmlformats.org/officeDocument/2006/relationships/theme" Target="/xl/theme/theme1.xml" Id="R7e369c2ccfcb4d26" /><Relationship Type="http://schemas.openxmlformats.org/officeDocument/2006/relationships/sharedStrings" Target="/xl/sharedStrings.xml" Id="R7a9139861d88493c" /><Relationship Type="http://schemas.openxmlformats.org/officeDocument/2006/relationships/worksheet" Target="/xl/worksheets/sheet1.xml" Id="R9477e82619e2452b" /><Relationship Type="http://schemas.openxmlformats.org/officeDocument/2006/relationships/worksheet" Target="/xl/worksheets/sheet2.xml" Id="R03c8530c28984468" /><Relationship Type="http://schemas.openxmlformats.org/officeDocument/2006/relationships/worksheet" Target="/xl/worksheets/sheet3.xml" Id="Ra2814b4e33444dca" /><Relationship Type="http://schemas.openxmlformats.org/officeDocument/2006/relationships/worksheet" Target="/xl/worksheets/sheet4.xml" Id="R37f5eb6329ce4a1b" /><Relationship Type="http://schemas.openxmlformats.org/officeDocument/2006/relationships/worksheet" Target="/xl/worksheets/sheet5.xml" Id="R0ea921762e59475e" /><Relationship Type="http://schemas.openxmlformats.org/officeDocument/2006/relationships/worksheet" Target="/xl/worksheets/sheet6.xml" Id="R09b7223c5d884519" /><Relationship Type="http://schemas.openxmlformats.org/officeDocument/2006/relationships/worksheet" Target="/xl/worksheets/sheet7.xml" Id="Re30e6d6384f242f8" /><Relationship Type="http://schemas.openxmlformats.org/officeDocument/2006/relationships/worksheet" Target="/xl/worksheets/sheet8.xml" Id="R7530fe118b7a426a" /><Relationship Type="http://schemas.openxmlformats.org/officeDocument/2006/relationships/worksheet" Target="/xl/worksheets/sheet9.xml" Id="Raf70c989dd2240b4" /><Relationship Type="http://schemas.openxmlformats.org/officeDocument/2006/relationships/worksheet" Target="/xl/worksheets/sheet10.xml" Id="R924a22ed9d1f4084" /><Relationship Type="http://schemas.openxmlformats.org/officeDocument/2006/relationships/worksheet" Target="/xl/worksheets/sheet11.xml" Id="R243745f21771443d" /><Relationship Type="http://schemas.openxmlformats.org/officeDocument/2006/relationships/worksheet" Target="/xl/worksheets/sheet12.xml" Id="R687d72e7c1194c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f>COUNTIF('Test Case Design &amp; Test Results'!$B$4:$B$80,B4)</x:f>
        <x:v>13</x:v>
      </x:c>
      <x:c r="E4" s="252" t="n">
        <x:f>COUNTIFS('Test Case Design &amp; Test Results'!$B$4:$B$80,B4,'Test Case Design &amp; Test Results'!$J$4:$J$80,"Pass")</x:f>
        <x:v>13</x:v>
      </x:c>
      <x:c r="F4" s="252" t="n">
        <x:f>COUNTIFS('Test Case Design &amp; Test Results'!$B$4:$B$80,B4,'Test Case Design &amp; Test Results'!$J$4:$J$80,"Fail")</x:f>
        <x:v>0</x:v>
      </x:c>
      <x:c r="G4" s="252" t="n">
        <x:f>COUNTIFS('Test Case Design &amp; Test Results'!$B$4:$B$80,B4,'Test Case Design &amp; Test Results'!$J$4:$J$80,"Not Run")+COUNTIFS('Test Case Design &amp; Test Results'!$B$4:$B$80,B4,'Test Case Design &amp; Test Results'!$J$4:$J$80,"Waiting Frontend")</x:f>
        <x:v>0</x:v>
      </x:c>
      <x:c r="H4" s="253" t="n">
        <x:f>COUNTIFS('Test Case Design &amp; Test Results'!$B$4:$B$80,B4,'Test Case Design &amp; Test Results'!$J$4:$J$80,"Blocked")</x:f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f>COUNTIF('Test Case Design &amp; Test Results'!$B$4:$B$80,B5)</x:f>
        <x:v>11</x:v>
      </x:c>
      <x:c r="E5" s="259" t="n">
        <x:f>COUNTIFS('Test Case Design &amp; Test Results'!$B$4:$B$80,B5,'Test Case Design &amp; Test Results'!$J$4:$J$80,"Pass")</x:f>
        <x:v>0</x:v>
      </x:c>
      <x:c r="F5" s="259" t="n">
        <x:f>COUNTIFS('Test Case Design &amp; Test Results'!$B$4:$B$80,B5,'Test Case Design &amp; Test Results'!$J$4:$J$80,"Fail")</x:f>
        <x:v>0</x:v>
      </x:c>
      <x:c r="G5" s="259" t="n">
        <x:f>COUNTIFS('Test Case Design &amp; Test Results'!$B$4:$B$80,B5,'Test Case Design &amp; Test Results'!$J$4:$J$80,"Not Run")+COUNTIFS('Test Case Design &amp; Test Results'!$B$4:$B$80,B5,'Test Case Design &amp; Test Results'!$J$4:$J$80,"Waiting Frontend")</x:f>
        <x:v>11</x:v>
      </x:c>
      <x:c r="H5" s="260" t="n">
        <x:f>COUNTIFS('Test Case Design &amp; Test Results'!$B$4:$B$80,B5,'Test Case Design &amp; Test Results'!$J$4:$J$80,"Blocked")</x:f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f>COUNTIF('Test Case Design &amp; Test Results'!$B$4:$B$80,B6)</x:f>
        <x:v>8</x:v>
      </x:c>
      <x:c r="E6" s="259" t="n">
        <x:f>COUNTIFS('Test Case Design &amp; Test Results'!$B$4:$B$80,B6,'Test Case Design &amp; Test Results'!$J$4:$J$80,"Pass")</x:f>
        <x:v>0</x:v>
      </x:c>
      <x:c r="F6" s="259" t="n">
        <x:f>COUNTIFS('Test Case Design &amp; Test Results'!$B$4:$B$80,B6,'Test Case Design &amp; Test Results'!$J$4:$J$80,"Fail")</x:f>
        <x:v>0</x:v>
      </x:c>
      <x:c r="G6" s="259" t="n">
        <x:f>COUNTIFS('Test Case Design &amp; Test Results'!$B$4:$B$80,B6,'Test Case Design &amp; Test Results'!$J$4:$J$80,"Not Run")+COUNTIFS('Test Case Design &amp; Test Results'!$B$4:$B$80,B6,'Test Case Design &amp; Test Results'!$J$4:$J$80,"Waiting Frontend")</x:f>
        <x:v>8</x:v>
      </x:c>
      <x:c r="H6" s="260" t="n">
        <x:f>COUNTIFS('Test Case Design &amp; Test Results'!$B$4:$B$80,B6,'Test Case Design &amp; Test Results'!$J$4:$J$80,"Blocked")</x:f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f>COUNTIF('Test Case Design &amp; Test Results'!$B$4:$B$80,B7)</x:f>
        <x:v>7</x:v>
      </x:c>
      <x:c r="E7" s="259" t="n">
        <x:f>COUNTIFS('Test Case Design &amp; Test Results'!$B$4:$B$80,B7,'Test Case Design &amp; Test Results'!$J$4:$J$80,"Pass")</x:f>
        <x:v>0</x:v>
      </x:c>
      <x:c r="F7" s="259" t="n">
        <x:f>COUNTIFS('Test Case Design &amp; Test Results'!$B$4:$B$80,B7,'Test Case Design &amp; Test Results'!$J$4:$J$80,"Fail")</x:f>
        <x:v>0</x:v>
      </x:c>
      <x:c r="G7" s="259" t="n">
        <x:f>COUNTIFS('Test Case Design &amp; Test Results'!$B$4:$B$80,B7,'Test Case Design &amp; Test Results'!$J$4:$J$80,"Not Run")+COUNTIFS('Test Case Design &amp; Test Results'!$B$4:$B$80,B7,'Test Case Design &amp; Test Results'!$J$4:$J$80,"Waiting Frontend")</x:f>
        <x:v>7</x:v>
      </x:c>
      <x:c r="H7" s="260" t="n">
        <x:f>COUNTIFS('Test Case Design &amp; Test Results'!$B$4:$B$80,B7,'Test Case Design &amp; Test Results'!$J$4:$J$80,"Blocked")</x:f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f>COUNTIF('Test Case Design &amp; Test Results'!$B$4:$B$80,B8)</x:f>
        <x:v>4</x:v>
      </x:c>
      <x:c r="E8" s="259" t="n">
        <x:f>COUNTIFS('Test Case Design &amp; Test Results'!$B$4:$B$80,B8,'Test Case Design &amp; Test Results'!$J$4:$J$80,"Pass")</x:f>
        <x:v>0</x:v>
      </x:c>
      <x:c r="F8" s="259" t="n">
        <x:f>COUNTIFS('Test Case Design &amp; Test Results'!$B$4:$B$80,B8,'Test Case Design &amp; Test Results'!$J$4:$J$80,"Fail")</x:f>
        <x:v>0</x:v>
      </x:c>
      <x:c r="G8" s="259" t="n">
        <x:f>COUNTIFS('Test Case Design &amp; Test Results'!$B$4:$B$80,B8,'Test Case Design &amp; Test Results'!$J$4:$J$80,"Not Run")+COUNTIFS('Test Case Design &amp; Test Results'!$B$4:$B$80,B8,'Test Case Design &amp; Test Results'!$J$4:$J$80,"Waiting Frontend")</x:f>
        <x:v>4</x:v>
      </x:c>
      <x:c r="H8" s="260" t="n">
        <x:f>COUNTIFS('Test Case Design &amp; Test Results'!$B$4:$B$80,B8,'Test Case Design &amp; Test Results'!$J$4:$J$80,"Blocked")</x:f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f>COUNTIF('Test Case Design &amp; Test Results'!$B$4:$B$80,B9)</x:f>
        <x:v>5</x:v>
      </x:c>
      <x:c r="E9" s="266" t="n">
        <x:f>COUNTIFS('Test Case Design &amp; Test Results'!$B$4:$B$80,B9,'Test Case Design &amp; Test Results'!$J$4:$J$80,"Pass")</x:f>
        <x:v>0</x:v>
      </x:c>
      <x:c r="F9" s="266" t="n">
        <x:f>COUNTIFS('Test Case Design &amp; Test Results'!$B$4:$B$80,B9,'Test Case Design &amp; Test Results'!$J$4:$J$80,"Fail")</x:f>
        <x:v>0</x:v>
      </x:c>
      <x:c r="G9" s="266" t="n">
        <x:f>COUNTIFS('Test Case Design &amp; Test Results'!$B$4:$B$80,B9,'Test Case Design &amp; Test Results'!$J$4:$J$80,"Not Run")+COUNTIFS('Test Case Design &amp; Test Results'!$B$4:$B$80,B9,'Test Case Design &amp; Test Results'!$J$4:$J$80,"Waiting Frontend")</x:f>
        <x:v>5</x:v>
      </x:c>
      <x:c r="H9" s="267" t="n">
        <x:f>COUNTIFS('Test Case Design &amp; Test Results'!$B$4:$B$80,B9,'Test Case Design &amp; Test Results'!$J$4:$J$80,"Blocked")</x:f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Planned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Planned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Planned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Planned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Planned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Planned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Planned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Planned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Planned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Planned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Planned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Planned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15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Not Run</x:v>
      </x:c>
      <x:c r="J17" s="270" t="str">
        <x:v>Not Run</x:v>
      </x:c>
      <x:c r="K17" s="261" t="str">
        <x:v>Unit test (JUnit 5 / Mockito)</x:v>
      </x:c>
      <x:c r="L17" s="261" t="str"/>
      <x:c r="M17" s="261" t="str"/>
    </x:row>
    <x:row r="18" ht="15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Not Run</x:v>
      </x:c>
      <x:c r="J18" s="270" t="str">
        <x:v>Not Run</x:v>
      </x:c>
      <x:c r="K18" s="261" t="str">
        <x:v>Unit test (JUnit 5 / Mockito)</x:v>
      </x:c>
      <x:c r="L18" s="261" t="str"/>
      <x:c r="M18" s="261" t="str"/>
    </x:row>
    <x:row r="19" ht="15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Not Run</x:v>
      </x:c>
      <x:c r="J19" s="270" t="str">
        <x:v>Not Run</x:v>
      </x:c>
      <x:c r="K19" s="261" t="str">
        <x:v>Unit test (JUnit 5 / Mockito)</x:v>
      </x:c>
      <x:c r="L19" s="261" t="str"/>
      <x:c r="M19" s="261" t="str"/>
    </x:row>
    <x:row r="20" ht="15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Not Run</x:v>
      </x:c>
      <x:c r="J20" s="270" t="str">
        <x:v>Not Run</x:v>
      </x:c>
      <x:c r="K20" s="261" t="str">
        <x:v>Unit test (JUnit 5 / Mockito)</x:v>
      </x:c>
      <x:c r="L20" s="261" t="str"/>
      <x:c r="M20" s="261" t="str"/>
    </x:row>
    <x:row r="21" ht="15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Not Run</x:v>
      </x:c>
      <x:c r="J21" s="270" t="str">
        <x:v>Not Run</x:v>
      </x:c>
      <x:c r="K21" s="261" t="str">
        <x:v>Unit test (JUnit 5 / Mockito)</x:v>
      </x:c>
      <x:c r="L21" s="261" t="str"/>
      <x:c r="M21" s="261" t="str"/>
    </x:row>
    <x:row r="22" ht="15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Not Run</x:v>
      </x:c>
      <x:c r="J22" s="270" t="str">
        <x:v>Not Run</x:v>
      </x:c>
      <x:c r="K22" s="261" t="str">
        <x:v>Unit test (JUnit 5 / Mockito)</x:v>
      </x:c>
      <x:c r="L22" s="261" t="str"/>
      <x:c r="M22" s="261" t="str"/>
    </x:row>
    <x:row r="23" ht="15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Not Run</x:v>
      </x:c>
      <x:c r="J23" s="270" t="str">
        <x:v>Not Run</x:v>
      </x:c>
      <x:c r="K23" s="261" t="str">
        <x:v>Unit test (JUnit 5 / Mockito)</x:v>
      </x:c>
      <x:c r="L23" s="261" t="str"/>
      <x:c r="M23" s="261" t="str"/>
    </x:row>
    <x:row r="24" ht="15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Not Run</x:v>
      </x:c>
      <x:c r="J24" s="270" t="str">
        <x:v>Not Run</x:v>
      </x:c>
      <x:c r="K24" s="261" t="str">
        <x:v>Unit test (JUnit 5 / Mockito)</x:v>
      </x:c>
      <x:c r="L24" s="261" t="str"/>
      <x:c r="M24" s="261" t="str"/>
    </x:row>
    <x:row r="25" ht="15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Not Run</x:v>
      </x:c>
      <x:c r="J25" s="270" t="str">
        <x:v>Not Run</x:v>
      </x:c>
      <x:c r="K25" s="261" t="str">
        <x:v>Unit test (JUnit 5 / Mockito)</x:v>
      </x:c>
      <x:c r="L25" s="261" t="str"/>
      <x:c r="M25" s="261" t="str"/>
    </x:row>
    <x:row r="26" ht="15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Not Run</x:v>
      </x:c>
      <x:c r="J26" s="270" t="str">
        <x:v>Not Run</x:v>
      </x:c>
      <x:c r="K26" s="261" t="str">
        <x:v>Unit test (JUnit 5 / Mockito)</x:v>
      </x:c>
      <x:c r="L26" s="261" t="str"/>
      <x:c r="M26" s="261" t="str"/>
    </x:row>
    <x:row r="27" ht="15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Not Run</x:v>
      </x:c>
      <x:c r="J27" s="270" t="str">
        <x:v>Not Run</x:v>
      </x:c>
      <x:c r="K27" s="261" t="str">
        <x:v>Unit test (JUnit 5 / Mockito)</x:v>
      </x:c>
      <x:c r="L27" s="261" t="str"/>
      <x:c r="M27" s="261" t="str"/>
    </x:row>
    <x:row r="28" ht="15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Not Run</x:v>
      </x:c>
      <x:c r="J28" s="270" t="str">
        <x:v>Not Run</x:v>
      </x:c>
      <x:c r="K28" s="261" t="str">
        <x:v>MVC Slice Test</x:v>
      </x:c>
      <x:c r="L28" s="261" t="str"/>
      <x:c r="M28" s="261" t="str"/>
    </x:row>
    <x:row r="29" ht="15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Not Run</x:v>
      </x:c>
      <x:c r="J29" s="270" t="str">
        <x:v>Not Run</x:v>
      </x:c>
      <x:c r="K29" s="261" t="str">
        <x:v>MVC Slice Test</x:v>
      </x:c>
      <x:c r="L29" s="261" t="str"/>
      <x:c r="M29" s="261" t="str"/>
    </x:row>
    <x:row r="30" ht="15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Not Run</x:v>
      </x:c>
      <x:c r="J30" s="270" t="str">
        <x:v>Not Run</x:v>
      </x:c>
      <x:c r="K30" s="261" t="str">
        <x:v>MVC Slice Test</x:v>
      </x:c>
      <x:c r="L30" s="261" t="str"/>
      <x:c r="M30" s="261" t="str"/>
    </x:row>
    <x:row r="31" ht="15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Not Run</x:v>
      </x:c>
      <x:c r="J31" s="270" t="str">
        <x:v>Not Run</x:v>
      </x:c>
      <x:c r="K31" s="261" t="str">
        <x:v>MVC Slice Test</x:v>
      </x:c>
      <x:c r="L31" s="261" t="str"/>
      <x:c r="M31" s="261" t="str"/>
    </x:row>
    <x:row r="32" ht="15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Not Run</x:v>
      </x:c>
      <x:c r="J32" s="270" t="str">
        <x:v>Not Run</x:v>
      </x:c>
      <x:c r="K32" s="261" t="str">
        <x:v>MVC Slice Test</x:v>
      </x:c>
      <x:c r="L32" s="261" t="str"/>
      <x:c r="M32" s="261" t="str"/>
    </x:row>
    <x:row r="33" ht="15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register ไม่มี body/JSON ผิดรูป</x:v>
      </x:c>
      <x:c r="G33" s="261" t="str">
        <x:v>MVC binding/serialization</x:v>
      </x:c>
      <x:c r="H33" s="261" t="str">
        <x:v>ได้ 4xx ตาม MVC behavior</x:v>
      </x:c>
      <x:c r="I33" s="261" t="str">
        <x:v>Not Run</x:v>
      </x:c>
      <x:c r="J33" s="270" t="str">
        <x:v>Not Run</x:v>
      </x:c>
      <x:c r="K33" s="261" t="str">
        <x:v>MVC Slice Test</x:v>
      </x:c>
      <x:c r="L33" s="261" t="str"/>
      <x:c r="M33" s="261" t="str"/>
    </x:row>
    <x:row r="34" ht="15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login ไม่มี body/JSON ผิดรูป</x:v>
      </x:c>
      <x:c r="G34" s="261" t="str">
        <x:v>MVC binding/serialization</x:v>
      </x:c>
      <x:c r="H34" s="261" t="str">
        <x:v>ได้ 4xx ตาม MVC behavior</x:v>
      </x:c>
      <x:c r="I34" s="261" t="str">
        <x:v>Not Run</x:v>
      </x:c>
      <x:c r="J34" s="270" t="str">
        <x:v>Not Run</x:v>
      </x:c>
      <x:c r="K34" s="261" t="str">
        <x:v>MVC Slice Test</x:v>
      </x:c>
      <x:c r="L34" s="261" t="str"/>
      <x:c r="M34" s="261" t="str"/>
    </x:row>
    <x:row r="35" ht="15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RegisterResponse/LoginResponse</x:v>
      </x:c>
      <x:c r="F35" s="261" t="str">
        <x:v>AuthService คืน User ที่มี passwordHash</x:v>
      </x:c>
      <x:c r="G35" s="261" t="str">
        <x:v>response serialization</x:v>
      </x:c>
      <x:c r="H35" s="261" t="str">
        <x:v>response ไม่ควรมี passwordHash</x:v>
      </x:c>
      <x:c r="I35" s="261" t="str">
        <x:v>Not Run</x:v>
      </x:c>
      <x:c r="J35" s="270" t="str">
        <x:v>Not Run</x:v>
      </x:c>
      <x:c r="K35" s="261" t="str">
        <x:v>MVC Slice Test</x:v>
      </x:c>
      <x:c r="L35" s="261" t="str"/>
      <x:c r="M35" s="261" t="str"/>
    </x:row>
    <x:row r="36" ht="15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route ถูก permitAll ตาม config ปัจจุบัน</x:v>
      </x:c>
      <x:c r="I36" s="261" t="str">
        <x:v>Not Run</x:v>
      </x:c>
      <x:c r="J36" s="270" t="str">
        <x:v>Not Run</x:v>
      </x:c>
      <x:c r="K36" s="261" t="str">
        <x:v>Security MVC Test</x:v>
      </x:c>
      <x:c r="L36" s="261" t="str"/>
      <x:c r="M36" s="261" t="str"/>
    </x:row>
    <x:row r="37" ht="15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GET/POST /api/**</x:v>
      </x:c>
      <x:c r="G37" s="261" t="str">
        <x:v>anonymous request</x:v>
      </x:c>
      <x:c r="H37" s="261" t="str">
        <x:v>API ถูก permitAll ตาม config ปัจจุบัน</x:v>
      </x:c>
      <x:c r="I37" s="261" t="str">
        <x:v>Not Run</x:v>
      </x:c>
      <x:c r="J37" s="270" t="str">
        <x:v>Not Run</x:v>
      </x:c>
      <x:c r="K37" s="261" t="str">
        <x:v>Security MVC Test</x:v>
      </x:c>
      <x:c r="L37" s="261" t="str"/>
      <x:c r="M37" s="261" t="str"/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/api/auth/login/register/logout ไม่มี CSRF token</x:v>
      </x:c>
      <x:c r="G38" s="261" t="str">
        <x:v>anonymous/request ตามกรณี</x:v>
      </x:c>
      <x:c r="H38" s="261" t="str">
        <x:v>ไม่ถูกบล็อกจาก CSRF เพราะ /api/** ถูก ignore</x:v>
      </x:c>
      <x:c r="I38" s="261" t="str">
        <x:v>Not Run</x:v>
      </x:c>
      <x:c r="J38" s="270" t="str">
        <x:v>Not Run</x:v>
      </x:c>
      <x:c r="K38" s="261" t="str">
        <x:v>Security MVC Test</x:v>
      </x:c>
      <x:c r="L38" s="261" t="str"/>
      <x:c r="M38" s="261" t="str"/>
    </x:row>
    <x:row r="39" ht="15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/swagger-ui/** หรือ /v3/api-docs/**</x:v>
      </x:c>
      <x:c r="G39" s="261" t="str">
        <x:v>anonymous request</x:v>
      </x:c>
      <x:c r="H39" s="261" t="str">
        <x:v>route ถูก permitAll</x:v>
      </x:c>
      <x:c r="I39" s="261" t="str">
        <x:v>Not Run</x:v>
      </x:c>
      <x:c r="J39" s="270" t="str">
        <x:v>Not Run</x:v>
      </x:c>
      <x:c r="K39" s="261" t="str">
        <x:v>Security MVC Test</x:v>
      </x:c>
      <x:c r="L39" s="261" t="str"/>
      <x:c r="M39" s="261" t="str"/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/css/** /js/** /images/** /favicon.ico</x:v>
      </x:c>
      <x:c r="G40" s="261" t="str">
        <x:v>anonymous request</x:v>
      </x:c>
      <x:c r="H40" s="261" t="str">
        <x:v>security ไม่บล็อก route เหล่านี้; resource existence ทดสอบภายหลัง</x:v>
      </x:c>
      <x:c r="I40" s="261" t="str">
        <x:v>Not Run</x:v>
      </x:c>
      <x:c r="J40" s="270" t="str">
        <x:v>Not Run</x:v>
      </x:c>
      <x:c r="K40" s="261" t="str">
        <x:v>Security MVC Test</x:v>
      </x:c>
      <x:c r="L40" s="261" t="str"/>
      <x:c r="M40" s="261" t="str"/>
    </x:row>
    <x:row r="41" ht="15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path ที่ไม่อยู่ใน permitAll</x:v>
      </x:c>
      <x:c r="G41" s="261" t="str">
        <x:v>anonymous request</x:v>
      </x:c>
      <x:c r="H41" s="261" t="str">
        <x:v>ต้อง authenticated / ถูกปฏิเสธตาม Spring Security</x:v>
      </x:c>
      <x:c r="I41" s="261" t="str">
        <x:v>Not Run</x:v>
      </x:c>
      <x:c r="J41" s="270" t="str">
        <x:v>Not Run</x:v>
      </x:c>
      <x:c r="K41" s="261" t="str">
        <x:v>Security MVC Test</x:v>
      </x:c>
      <x:c r="L41" s="261" t="str"/>
      <x:c r="M41" s="261" t="str"/>
    </x:row>
    <x:row r="42" ht="15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request ที่ไม่มี form login/basic credentials</x:v>
      </x:c>
      <x:c r="G42" s="261" t="str">
        <x:v>anonymous request</x:v>
      </x:c>
      <x:c r="H42" s="261" t="str">
        <x:v>formLogin และ httpBasic ถูก disable ตาม config</x:v>
      </x:c>
      <x:c r="I42" s="261" t="str">
        <x:v>Not Run</x:v>
      </x:c>
      <x:c r="J42" s="270" t="str">
        <x:v>Not Run</x:v>
      </x:c>
      <x:c r="K42" s="261" t="str">
        <x:v>Security MVC Test</x:v>
      </x:c>
      <x:c r="L42" s="261" t="str"/>
      <x:c r="M42" s="261" t="str"/>
    </x:row>
    <x:row r="43" ht="15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Not Run</x:v>
      </x:c>
      <x:c r="J43" s="270" t="str">
        <x:v>Not Run</x:v>
      </x:c>
      <x:c r="K43" s="261" t="str">
        <x:v>Unit test (JUnit 5 / Mockito)</x:v>
      </x:c>
      <x:c r="L43" s="261" t="str"/>
      <x:c r="M43" s="261" t="str"/>
    </x:row>
    <x:row r="44" ht="15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Not Run</x:v>
      </x:c>
      <x:c r="J44" s="270" t="str">
        <x:v>Not Run</x:v>
      </x:c>
      <x:c r="K44" s="261" t="str">
        <x:v>Unit test (JUnit 5 / Mockito)</x:v>
      </x:c>
      <x:c r="L44" s="261" t="str"/>
      <x:c r="M44" s="261" t="str"/>
    </x:row>
    <x:row r="45" ht="15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list payload</x:v>
      </x:c>
      <x:c r="I45" s="261" t="str">
        <x:v>Not Run</x:v>
      </x:c>
      <x:c r="J45" s="270" t="str">
        <x:v>Not Run</x:v>
      </x:c>
      <x:c r="K45" s="261" t="str">
        <x:v>MVC Slice Test</x:v>
      </x:c>
      <x:c r="L45" s="261" t="str"/>
      <x:c r="M45" s="261" t="str"/>
    </x:row>
    <x:row r="46" ht="15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[]</x:v>
      </x:c>
      <x:c r="I46" s="261" t="str">
        <x:v>Not Run</x:v>
      </x:c>
      <x:c r="J46" s="270" t="str">
        <x:v>Not Run</x:v>
      </x:c>
      <x:c r="K46" s="261" t="str">
        <x:v>MVC Slice Test</x:v>
      </x:c>
      <x:c r="L46" s="261" t="str"/>
      <x:c r="M46" s="261" t="str"/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 ht="15" hidden="0" customHeight="1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 ht="15" hidden="0" customHeight="1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 ht="15" hidden="0" customHeight="1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 ht="15" hidden="0" customHeight="1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 ht="15" hidden="0" customHeight="1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 ht="15" hidden="0" customHeight="1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 ht="15" hidden="0" customHeight="1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M1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Not Run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Not Run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Not Run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Not Run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Not Run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Not Run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Not Run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Not Run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register ไม่มี body/JSON ผิดรูป | MVC binding/serialization</x:v>
      </x:c>
      <x:c r="D18" s="257" t="str">
        <x:v>ได้ 4xx ตาม MVC behavior</x:v>
      </x:c>
      <x:c r="E18" s="270" t="str">
        <x:v>Not Run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login ไม่มี body/JSON ผิดรูป | MVC binding/serialization</x:v>
      </x:c>
      <x:c r="D19" s="257" t="str">
        <x:v>ได้ 4xx ตาม MVC behavior</x:v>
      </x:c>
      <x:c r="E19" s="270" t="str">
        <x:v>Not Run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AuthService คืน User ที่มี passwordHash | response serialization</x:v>
      </x:c>
      <x:c r="D20" s="264" t="str">
        <x:v>response ไม่ควรมี passwordHash</x:v>
      </x:c>
      <x:c r="E20" s="271" t="str">
        <x:v>Not Run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route ถูก permitAll ตาม config ปัจจุบัน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GET/POST /api/** | anonymous request</x:v>
      </x:c>
      <x:c r="D14" s="257" t="str">
        <x:v>API ถูก permitAll ตาม config ปัจจุบัน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/api/auth/login/register/logout ไม่มี CSRF token | anonymous/request ตามกรณี</x:v>
      </x:c>
      <x:c r="D15" s="257" t="str">
        <x:v>ไม่ถูกบล็อกจาก CSRF เพราะ /api/** ถูก ignore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/swagger-ui/** หรือ /v3/api-docs/** | anonymous request</x:v>
      </x:c>
      <x:c r="D16" s="257" t="str">
        <x:v>route ถูก permitAll</x:v>
      </x:c>
      <x:c r="E16" s="270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/css/** /js/** /images/** /favicon.ico | anonymous request</x:v>
      </x:c>
      <x:c r="D17" s="257" t="str">
        <x:v>security ไม่บล็อก route เหล่านี้; resource existence ทดสอบภายหลัง</x:v>
      </x:c>
      <x:c r="E17" s="270" t="str">
        <x:v>Not Run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path ที่ไม่อยู่ใน permitAll | anonymous request</x:v>
      </x:c>
      <x:c r="D18" s="257" t="str">
        <x:v>ต้อง authenticated / ถูกปฏิเสธตาม Spring Security</x:v>
      </x:c>
      <x:c r="E18" s="270" t="str">
        <x:v>Not Run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request ที่ไม่มี form login/basic credentials | anonymous request</x:v>
      </x:c>
      <x:c r="D19" s="264" t="str">
        <x:v>formLogin และ httpBasic ถูก disable ตาม config</x:v>
      </x:c>
      <x:c r="E19" s="271" t="str">
        <x:v>Not Run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MVC: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list payload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[]</x:v>
      </x:c>
      <x:c r="E16" s="271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>
      <x:c r="A4" s="275" t="str"/>
      <x:c r="B4" s="276" t="str"/>
      <x:c r="C4" s="276" t="str"/>
      <x:c r="D4" s="276" t="str"/>
      <x:c r="E4" s="276" t="str"/>
      <x:c r="F4" s="276" t="str"/>
      <x:c r="G4" s="276" t="str"/>
      <x:c r="H4" s="277" t="str">
        <x:v>Not Run</x:v>
      </x:c>
      <x:c r="I4" s="276" t="str"/>
      <x:c r="J4" s="276" t="str"/>
      <x:c r="K4" s="278" t="str"/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f>COUNTA('Test Case Design &amp; Test Results'!$C$4:$C$80)</x:f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f>COUNTIF('Test Case Design &amp; Test Results'!$J$4:$J$80,"Pass")+COUNTIF('Test Case Design &amp; Test Results'!$J$4:$J$80,"Fail")+COUNTIF('Test Case Design &amp; Test Results'!$J$4:$J$80,"Blocked")</x:f>
        <x:v>13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f>COUNTIF('Test Case Design &amp; Test Results'!$J$4:$J$80,"Pass")</x:f>
        <x:v>13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f>COUNTIF('Test Case Design &amp; Test Results'!$J$4:$J$80,"Fail")</x:f>
        <x:v>0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f>COUNTIF('Test Case Design &amp; Test Results'!$J$4:$J$80,"Not Run")+COUNTIF('Test Case Design &amp; Test Results'!$J$4:$J$80,"Waiting Frontend")</x:f>
        <x:v>35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